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95fb12fa4e7769/Desktop/selva.k/"/>
    </mc:Choice>
  </mc:AlternateContent>
  <xr:revisionPtr revIDLastSave="0" documentId="8_{7ED5396E-4337-4EF1-9063-C284D09EEFE5}" xr6:coauthVersionLast="47" xr6:coauthVersionMax="47" xr10:uidLastSave="{00000000-0000-0000-0000-000000000000}"/>
  <bookViews>
    <workbookView xWindow="-120" yWindow="-120" windowWidth="21840" windowHeight="13140" xr2:uid="{16F3D7FF-E53E-48B6-B61C-B146276B5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03" i="1" l="1"/>
  <c r="P503" i="1"/>
  <c r="O503" i="1"/>
  <c r="M503" i="1"/>
  <c r="N503" i="1" s="1"/>
  <c r="Q502" i="1"/>
  <c r="P502" i="1"/>
  <c r="O502" i="1"/>
  <c r="M502" i="1"/>
  <c r="N502" i="1" s="1"/>
  <c r="Q501" i="1"/>
  <c r="P501" i="1"/>
  <c r="O501" i="1"/>
  <c r="M501" i="1"/>
  <c r="N501" i="1" s="1"/>
  <c r="Q500" i="1"/>
  <c r="P500" i="1"/>
  <c r="O500" i="1"/>
  <c r="M500" i="1"/>
  <c r="N500" i="1" s="1"/>
  <c r="Q499" i="1"/>
  <c r="P499" i="1"/>
  <c r="O499" i="1"/>
  <c r="N499" i="1"/>
  <c r="M499" i="1"/>
  <c r="Q498" i="1"/>
  <c r="P498" i="1"/>
  <c r="O498" i="1"/>
  <c r="M498" i="1"/>
  <c r="N498" i="1" s="1"/>
  <c r="Q497" i="1"/>
  <c r="P497" i="1"/>
  <c r="O497" i="1"/>
  <c r="M497" i="1"/>
  <c r="N497" i="1" s="1"/>
  <c r="Q496" i="1"/>
  <c r="P496" i="1"/>
  <c r="O496" i="1"/>
  <c r="M496" i="1"/>
  <c r="N496" i="1" s="1"/>
  <c r="Q495" i="1"/>
  <c r="P495" i="1"/>
  <c r="O495" i="1"/>
  <c r="N495" i="1"/>
  <c r="M495" i="1"/>
  <c r="Q494" i="1"/>
  <c r="P494" i="1"/>
  <c r="O494" i="1"/>
  <c r="M494" i="1"/>
  <c r="N494" i="1" s="1"/>
  <c r="Q493" i="1"/>
  <c r="P493" i="1"/>
  <c r="O493" i="1"/>
  <c r="M493" i="1"/>
  <c r="N493" i="1" s="1"/>
  <c r="Q492" i="1"/>
  <c r="P492" i="1"/>
  <c r="O492" i="1"/>
  <c r="M492" i="1"/>
  <c r="N492" i="1" s="1"/>
  <c r="Q491" i="1"/>
  <c r="P491" i="1"/>
  <c r="O491" i="1"/>
  <c r="N491" i="1"/>
  <c r="M491" i="1"/>
  <c r="Q490" i="1"/>
  <c r="P490" i="1"/>
  <c r="O490" i="1"/>
  <c r="M490" i="1"/>
  <c r="N490" i="1" s="1"/>
  <c r="Q489" i="1"/>
  <c r="P489" i="1"/>
  <c r="O489" i="1"/>
  <c r="M489" i="1"/>
  <c r="N489" i="1" s="1"/>
  <c r="Q488" i="1"/>
  <c r="P488" i="1"/>
  <c r="O488" i="1"/>
  <c r="M488" i="1"/>
  <c r="N488" i="1" s="1"/>
  <c r="Q487" i="1"/>
  <c r="P487" i="1"/>
  <c r="O487" i="1"/>
  <c r="N487" i="1"/>
  <c r="M487" i="1"/>
  <c r="Q486" i="1"/>
  <c r="P486" i="1"/>
  <c r="O486" i="1"/>
  <c r="M486" i="1"/>
  <c r="N486" i="1" s="1"/>
  <c r="Q485" i="1"/>
  <c r="P485" i="1"/>
  <c r="O485" i="1"/>
  <c r="M485" i="1"/>
  <c r="N485" i="1" s="1"/>
  <c r="Q484" i="1"/>
  <c r="P484" i="1"/>
  <c r="O484" i="1"/>
  <c r="M484" i="1"/>
  <c r="N484" i="1" s="1"/>
  <c r="Q483" i="1"/>
  <c r="P483" i="1"/>
  <c r="O483" i="1"/>
  <c r="N483" i="1"/>
  <c r="M483" i="1"/>
  <c r="Q482" i="1"/>
  <c r="P482" i="1"/>
  <c r="O482" i="1"/>
  <c r="M482" i="1"/>
  <c r="N482" i="1" s="1"/>
  <c r="Q481" i="1"/>
  <c r="P481" i="1"/>
  <c r="O481" i="1"/>
  <c r="M481" i="1"/>
  <c r="N481" i="1" s="1"/>
  <c r="Q480" i="1"/>
  <c r="P480" i="1"/>
  <c r="O480" i="1"/>
  <c r="M480" i="1"/>
  <c r="N480" i="1" s="1"/>
  <c r="Q479" i="1"/>
  <c r="P479" i="1"/>
  <c r="O479" i="1"/>
  <c r="N479" i="1"/>
  <c r="M479" i="1"/>
  <c r="Q478" i="1"/>
  <c r="P478" i="1"/>
  <c r="O478" i="1"/>
  <c r="M478" i="1"/>
  <c r="N478" i="1" s="1"/>
  <c r="Q477" i="1"/>
  <c r="P477" i="1"/>
  <c r="O477" i="1"/>
  <c r="M477" i="1"/>
  <c r="N477" i="1" s="1"/>
  <c r="Q476" i="1"/>
  <c r="P476" i="1"/>
  <c r="O476" i="1"/>
  <c r="M476" i="1"/>
  <c r="N476" i="1" s="1"/>
  <c r="Q475" i="1"/>
  <c r="P475" i="1"/>
  <c r="O475" i="1"/>
  <c r="N475" i="1"/>
  <c r="M475" i="1"/>
  <c r="Q474" i="1"/>
  <c r="P474" i="1"/>
  <c r="O474" i="1"/>
  <c r="M474" i="1"/>
  <c r="N474" i="1" s="1"/>
  <c r="Q473" i="1"/>
  <c r="P473" i="1"/>
  <c r="O473" i="1"/>
  <c r="M473" i="1"/>
  <c r="N473" i="1" s="1"/>
  <c r="Q472" i="1"/>
  <c r="P472" i="1"/>
  <c r="O472" i="1"/>
  <c r="M472" i="1"/>
  <c r="N472" i="1" s="1"/>
  <c r="Q471" i="1"/>
  <c r="P471" i="1"/>
  <c r="O471" i="1"/>
  <c r="N471" i="1"/>
  <c r="M471" i="1"/>
  <c r="Q470" i="1"/>
  <c r="P470" i="1"/>
  <c r="O470" i="1"/>
  <c r="M470" i="1"/>
  <c r="N470" i="1" s="1"/>
  <c r="Q469" i="1"/>
  <c r="P469" i="1"/>
  <c r="O469" i="1"/>
  <c r="M469" i="1"/>
  <c r="N469" i="1" s="1"/>
  <c r="Q468" i="1"/>
  <c r="P468" i="1"/>
  <c r="O468" i="1"/>
  <c r="M468" i="1"/>
  <c r="N468" i="1" s="1"/>
  <c r="Q467" i="1"/>
  <c r="P467" i="1"/>
  <c r="O467" i="1"/>
  <c r="N467" i="1"/>
  <c r="M467" i="1"/>
  <c r="Q466" i="1"/>
  <c r="P466" i="1"/>
  <c r="O466" i="1"/>
  <c r="M466" i="1"/>
  <c r="N466" i="1" s="1"/>
  <c r="Q465" i="1"/>
  <c r="P465" i="1"/>
  <c r="O465" i="1"/>
  <c r="M465" i="1"/>
  <c r="N465" i="1" s="1"/>
  <c r="Q464" i="1"/>
  <c r="P464" i="1"/>
  <c r="O464" i="1"/>
  <c r="M464" i="1"/>
  <c r="N464" i="1" s="1"/>
  <c r="Q463" i="1"/>
  <c r="P463" i="1"/>
  <c r="O463" i="1"/>
  <c r="N463" i="1"/>
  <c r="M463" i="1"/>
  <c r="Q462" i="1"/>
  <c r="P462" i="1"/>
  <c r="O462" i="1"/>
  <c r="M462" i="1"/>
  <c r="N462" i="1" s="1"/>
  <c r="Q461" i="1"/>
  <c r="P461" i="1"/>
  <c r="O461" i="1"/>
  <c r="M461" i="1"/>
  <c r="N461" i="1" s="1"/>
  <c r="Q460" i="1"/>
  <c r="P460" i="1"/>
  <c r="O460" i="1"/>
  <c r="M460" i="1"/>
  <c r="N460" i="1" s="1"/>
  <c r="Q459" i="1"/>
  <c r="P459" i="1"/>
  <c r="O459" i="1"/>
  <c r="N459" i="1"/>
  <c r="M459" i="1"/>
  <c r="Q458" i="1"/>
  <c r="P458" i="1"/>
  <c r="O458" i="1"/>
  <c r="M458" i="1"/>
  <c r="N458" i="1" s="1"/>
  <c r="Q457" i="1"/>
  <c r="P457" i="1"/>
  <c r="O457" i="1"/>
  <c r="M457" i="1"/>
  <c r="N457" i="1" s="1"/>
  <c r="Q456" i="1"/>
  <c r="P456" i="1"/>
  <c r="O456" i="1"/>
  <c r="M456" i="1"/>
  <c r="N456" i="1" s="1"/>
  <c r="Q455" i="1"/>
  <c r="P455" i="1"/>
  <c r="O455" i="1"/>
  <c r="N455" i="1"/>
  <c r="M455" i="1"/>
  <c r="Q454" i="1"/>
  <c r="P454" i="1"/>
  <c r="O454" i="1"/>
  <c r="M454" i="1"/>
  <c r="N454" i="1" s="1"/>
  <c r="Q453" i="1"/>
  <c r="P453" i="1"/>
  <c r="O453" i="1"/>
  <c r="M453" i="1"/>
  <c r="N453" i="1" s="1"/>
  <c r="Q452" i="1"/>
  <c r="P452" i="1"/>
  <c r="O452" i="1"/>
  <c r="M452" i="1"/>
  <c r="N452" i="1" s="1"/>
  <c r="Q451" i="1"/>
  <c r="P451" i="1"/>
  <c r="O451" i="1"/>
  <c r="N451" i="1"/>
  <c r="M451" i="1"/>
  <c r="Q450" i="1"/>
  <c r="P450" i="1"/>
  <c r="O450" i="1"/>
  <c r="M450" i="1"/>
  <c r="N450" i="1" s="1"/>
  <c r="Q449" i="1"/>
  <c r="P449" i="1"/>
  <c r="O449" i="1"/>
  <c r="M449" i="1"/>
  <c r="N449" i="1" s="1"/>
  <c r="Q448" i="1"/>
  <c r="P448" i="1"/>
  <c r="O448" i="1"/>
  <c r="M448" i="1"/>
  <c r="N448" i="1" s="1"/>
  <c r="Q447" i="1"/>
  <c r="P447" i="1"/>
  <c r="O447" i="1"/>
  <c r="N447" i="1"/>
  <c r="M447" i="1"/>
  <c r="Q446" i="1"/>
  <c r="P446" i="1"/>
  <c r="O446" i="1"/>
  <c r="M446" i="1"/>
  <c r="N446" i="1" s="1"/>
  <c r="Q445" i="1"/>
  <c r="P445" i="1"/>
  <c r="O445" i="1"/>
  <c r="M445" i="1"/>
  <c r="N445" i="1" s="1"/>
  <c r="Q444" i="1"/>
  <c r="P444" i="1"/>
  <c r="O444" i="1"/>
  <c r="M444" i="1"/>
  <c r="N444" i="1" s="1"/>
  <c r="Q443" i="1"/>
  <c r="P443" i="1"/>
  <c r="O443" i="1"/>
  <c r="N443" i="1"/>
  <c r="M443" i="1"/>
  <c r="Q442" i="1"/>
  <c r="P442" i="1"/>
  <c r="O442" i="1"/>
  <c r="M442" i="1"/>
  <c r="N442" i="1" s="1"/>
  <c r="Q441" i="1"/>
  <c r="P441" i="1"/>
  <c r="O441" i="1"/>
  <c r="M441" i="1"/>
  <c r="N441" i="1" s="1"/>
  <c r="Q440" i="1"/>
  <c r="P440" i="1"/>
  <c r="O440" i="1"/>
  <c r="M440" i="1"/>
  <c r="N440" i="1" s="1"/>
  <c r="Q439" i="1"/>
  <c r="P439" i="1"/>
  <c r="O439" i="1"/>
  <c r="N439" i="1"/>
  <c r="M439" i="1"/>
  <c r="Q438" i="1"/>
  <c r="P438" i="1"/>
  <c r="O438" i="1"/>
  <c r="M438" i="1"/>
  <c r="N438" i="1" s="1"/>
  <c r="Q437" i="1"/>
  <c r="P437" i="1"/>
  <c r="O437" i="1"/>
  <c r="M437" i="1"/>
  <c r="N437" i="1" s="1"/>
  <c r="Q436" i="1"/>
  <c r="P436" i="1"/>
  <c r="O436" i="1"/>
  <c r="M436" i="1"/>
  <c r="N436" i="1" s="1"/>
  <c r="Q435" i="1"/>
  <c r="P435" i="1"/>
  <c r="O435" i="1"/>
  <c r="N435" i="1"/>
  <c r="M435" i="1"/>
  <c r="Q434" i="1"/>
  <c r="P434" i="1"/>
  <c r="O434" i="1"/>
  <c r="M434" i="1"/>
  <c r="N434" i="1" s="1"/>
  <c r="Q433" i="1"/>
  <c r="P433" i="1"/>
  <c r="O433" i="1"/>
  <c r="M433" i="1"/>
  <c r="N433" i="1" s="1"/>
  <c r="Q432" i="1"/>
  <c r="P432" i="1"/>
  <c r="O432" i="1"/>
  <c r="M432" i="1"/>
  <c r="N432" i="1" s="1"/>
  <c r="Q431" i="1"/>
  <c r="P431" i="1"/>
  <c r="O431" i="1"/>
  <c r="N431" i="1"/>
  <c r="M431" i="1"/>
  <c r="Q430" i="1"/>
  <c r="P430" i="1"/>
  <c r="O430" i="1"/>
  <c r="M430" i="1"/>
  <c r="N430" i="1" s="1"/>
  <c r="Q429" i="1"/>
  <c r="P429" i="1"/>
  <c r="O429" i="1"/>
  <c r="M429" i="1"/>
  <c r="N429" i="1" s="1"/>
  <c r="Q428" i="1"/>
  <c r="P428" i="1"/>
  <c r="O428" i="1"/>
  <c r="M428" i="1"/>
  <c r="N428" i="1" s="1"/>
  <c r="Q427" i="1"/>
  <c r="P427" i="1"/>
  <c r="O427" i="1"/>
  <c r="N427" i="1"/>
  <c r="M427" i="1"/>
  <c r="Q426" i="1"/>
  <c r="P426" i="1"/>
  <c r="O426" i="1"/>
  <c r="M426" i="1"/>
  <c r="N426" i="1" s="1"/>
  <c r="Q425" i="1"/>
  <c r="P425" i="1"/>
  <c r="O425" i="1"/>
  <c r="M425" i="1"/>
  <c r="N425" i="1" s="1"/>
  <c r="Q424" i="1"/>
  <c r="P424" i="1"/>
  <c r="O424" i="1"/>
  <c r="M424" i="1"/>
  <c r="N424" i="1" s="1"/>
  <c r="Q423" i="1"/>
  <c r="P423" i="1"/>
  <c r="O423" i="1"/>
  <c r="N423" i="1"/>
  <c r="M423" i="1"/>
  <c r="Q422" i="1"/>
  <c r="P422" i="1"/>
  <c r="O422" i="1"/>
  <c r="M422" i="1"/>
  <c r="N422" i="1" s="1"/>
  <c r="Q421" i="1"/>
  <c r="P421" i="1"/>
  <c r="O421" i="1"/>
  <c r="M421" i="1"/>
  <c r="N421" i="1" s="1"/>
  <c r="Q420" i="1"/>
  <c r="P420" i="1"/>
  <c r="O420" i="1"/>
  <c r="M420" i="1"/>
  <c r="N420" i="1" s="1"/>
  <c r="Q419" i="1"/>
  <c r="P419" i="1"/>
  <c r="O419" i="1"/>
  <c r="N419" i="1"/>
  <c r="M419" i="1"/>
  <c r="Q418" i="1"/>
  <c r="P418" i="1"/>
  <c r="O418" i="1"/>
  <c r="M418" i="1"/>
  <c r="N418" i="1" s="1"/>
  <c r="Q417" i="1"/>
  <c r="P417" i="1"/>
  <c r="O417" i="1"/>
  <c r="M417" i="1"/>
  <c r="N417" i="1" s="1"/>
  <c r="Q416" i="1"/>
  <c r="P416" i="1"/>
  <c r="O416" i="1"/>
  <c r="M416" i="1"/>
  <c r="N416" i="1" s="1"/>
  <c r="Q415" i="1"/>
  <c r="P415" i="1"/>
  <c r="O415" i="1"/>
  <c r="N415" i="1"/>
  <c r="M415" i="1"/>
  <c r="Q414" i="1"/>
  <c r="P414" i="1"/>
  <c r="O414" i="1"/>
  <c r="M414" i="1"/>
  <c r="N414" i="1" s="1"/>
  <c r="Q413" i="1"/>
  <c r="P413" i="1"/>
  <c r="O413" i="1"/>
  <c r="M413" i="1"/>
  <c r="N413" i="1" s="1"/>
  <c r="Q412" i="1"/>
  <c r="P412" i="1"/>
  <c r="O412" i="1"/>
  <c r="M412" i="1"/>
  <c r="N412" i="1" s="1"/>
  <c r="Q411" i="1"/>
  <c r="P411" i="1"/>
  <c r="O411" i="1"/>
  <c r="N411" i="1"/>
  <c r="M411" i="1"/>
  <c r="Q410" i="1"/>
  <c r="P410" i="1"/>
  <c r="O410" i="1"/>
  <c r="M410" i="1"/>
  <c r="N410" i="1" s="1"/>
  <c r="Q409" i="1"/>
  <c r="P409" i="1"/>
  <c r="O409" i="1"/>
  <c r="M409" i="1"/>
  <c r="N409" i="1" s="1"/>
  <c r="Q408" i="1"/>
  <c r="P408" i="1"/>
  <c r="O408" i="1"/>
  <c r="M408" i="1"/>
  <c r="N408" i="1" s="1"/>
  <c r="Q407" i="1"/>
  <c r="P407" i="1"/>
  <c r="O407" i="1"/>
  <c r="N407" i="1"/>
  <c r="M407" i="1"/>
  <c r="Q406" i="1"/>
  <c r="P406" i="1"/>
  <c r="O406" i="1"/>
  <c r="M406" i="1"/>
  <c r="N406" i="1" s="1"/>
  <c r="Q405" i="1"/>
  <c r="P405" i="1"/>
  <c r="O405" i="1"/>
  <c r="M405" i="1"/>
  <c r="N405" i="1" s="1"/>
  <c r="Q404" i="1"/>
  <c r="P404" i="1"/>
  <c r="O404" i="1"/>
  <c r="M404" i="1"/>
  <c r="N404" i="1" s="1"/>
  <c r="Q403" i="1"/>
  <c r="P403" i="1"/>
  <c r="O403" i="1"/>
  <c r="N403" i="1"/>
  <c r="M403" i="1"/>
  <c r="Q402" i="1"/>
  <c r="P402" i="1"/>
  <c r="O402" i="1"/>
  <c r="M402" i="1"/>
  <c r="N402" i="1" s="1"/>
  <c r="Q401" i="1"/>
  <c r="P401" i="1"/>
  <c r="O401" i="1"/>
  <c r="M401" i="1"/>
  <c r="N401" i="1" s="1"/>
  <c r="Q400" i="1"/>
  <c r="P400" i="1"/>
  <c r="O400" i="1"/>
  <c r="M400" i="1"/>
  <c r="N400" i="1" s="1"/>
  <c r="Q399" i="1"/>
  <c r="P399" i="1"/>
  <c r="O399" i="1"/>
  <c r="N399" i="1"/>
  <c r="M399" i="1"/>
  <c r="Q398" i="1"/>
  <c r="P398" i="1"/>
  <c r="O398" i="1"/>
  <c r="M398" i="1"/>
  <c r="N398" i="1" s="1"/>
  <c r="Q397" i="1"/>
  <c r="P397" i="1"/>
  <c r="O397" i="1"/>
  <c r="M397" i="1"/>
  <c r="N397" i="1" s="1"/>
  <c r="Q396" i="1"/>
  <c r="P396" i="1"/>
  <c r="O396" i="1"/>
  <c r="M396" i="1"/>
  <c r="N396" i="1" s="1"/>
  <c r="Q395" i="1"/>
  <c r="P395" i="1"/>
  <c r="O395" i="1"/>
  <c r="N395" i="1"/>
  <c r="M395" i="1"/>
  <c r="Q394" i="1"/>
  <c r="P394" i="1"/>
  <c r="O394" i="1"/>
  <c r="M394" i="1"/>
  <c r="N394" i="1" s="1"/>
  <c r="Q393" i="1"/>
  <c r="P393" i="1"/>
  <c r="O393" i="1"/>
  <c r="M393" i="1"/>
  <c r="N393" i="1" s="1"/>
  <c r="Q392" i="1"/>
  <c r="P392" i="1"/>
  <c r="O392" i="1"/>
  <c r="M392" i="1"/>
  <c r="N392" i="1" s="1"/>
  <c r="Q391" i="1"/>
  <c r="P391" i="1"/>
  <c r="O391" i="1"/>
  <c r="N391" i="1"/>
  <c r="M391" i="1"/>
  <c r="Q390" i="1"/>
  <c r="P390" i="1"/>
  <c r="O390" i="1"/>
  <c r="M390" i="1"/>
  <c r="N390" i="1" s="1"/>
  <c r="Q389" i="1"/>
  <c r="P389" i="1"/>
  <c r="O389" i="1"/>
  <c r="M389" i="1"/>
  <c r="N389" i="1" s="1"/>
  <c r="Q388" i="1"/>
  <c r="P388" i="1"/>
  <c r="O388" i="1"/>
  <c r="M388" i="1"/>
  <c r="N388" i="1" s="1"/>
  <c r="Q387" i="1"/>
  <c r="P387" i="1"/>
  <c r="O387" i="1"/>
  <c r="N387" i="1"/>
  <c r="M387" i="1"/>
  <c r="Q386" i="1"/>
  <c r="P386" i="1"/>
  <c r="O386" i="1"/>
  <c r="M386" i="1"/>
  <c r="N386" i="1" s="1"/>
  <c r="Q385" i="1"/>
  <c r="P385" i="1"/>
  <c r="O385" i="1"/>
  <c r="M385" i="1"/>
  <c r="N385" i="1" s="1"/>
  <c r="Q384" i="1"/>
  <c r="P384" i="1"/>
  <c r="O384" i="1"/>
  <c r="M384" i="1"/>
  <c r="N384" i="1" s="1"/>
  <c r="Q383" i="1"/>
  <c r="P383" i="1"/>
  <c r="O383" i="1"/>
  <c r="N383" i="1"/>
  <c r="M383" i="1"/>
  <c r="Q382" i="1"/>
  <c r="P382" i="1"/>
  <c r="O382" i="1"/>
  <c r="M382" i="1"/>
  <c r="N382" i="1" s="1"/>
  <c r="Q381" i="1"/>
  <c r="P381" i="1"/>
  <c r="O381" i="1"/>
  <c r="M381" i="1"/>
  <c r="N381" i="1" s="1"/>
  <c r="Q380" i="1"/>
  <c r="P380" i="1"/>
  <c r="O380" i="1"/>
  <c r="M380" i="1"/>
  <c r="N380" i="1" s="1"/>
  <c r="Q379" i="1"/>
  <c r="P379" i="1"/>
  <c r="O379" i="1"/>
  <c r="N379" i="1"/>
  <c r="M379" i="1"/>
  <c r="Q378" i="1"/>
  <c r="P378" i="1"/>
  <c r="O378" i="1"/>
  <c r="M378" i="1"/>
  <c r="N378" i="1" s="1"/>
  <c r="Q377" i="1"/>
  <c r="P377" i="1"/>
  <c r="O377" i="1"/>
  <c r="M377" i="1"/>
  <c r="N377" i="1" s="1"/>
  <c r="Q376" i="1"/>
  <c r="P376" i="1"/>
  <c r="O376" i="1"/>
  <c r="M376" i="1"/>
  <c r="N376" i="1" s="1"/>
  <c r="Q375" i="1"/>
  <c r="P375" i="1"/>
  <c r="O375" i="1"/>
  <c r="N375" i="1"/>
  <c r="M375" i="1"/>
  <c r="Q374" i="1"/>
  <c r="P374" i="1"/>
  <c r="O374" i="1"/>
  <c r="M374" i="1"/>
  <c r="N374" i="1" s="1"/>
  <c r="Q373" i="1"/>
  <c r="P373" i="1"/>
  <c r="O373" i="1"/>
  <c r="M373" i="1"/>
  <c r="N373" i="1" s="1"/>
  <c r="Q372" i="1"/>
  <c r="P372" i="1"/>
  <c r="O372" i="1"/>
  <c r="M372" i="1"/>
  <c r="N372" i="1" s="1"/>
  <c r="Q371" i="1"/>
  <c r="P371" i="1"/>
  <c r="O371" i="1"/>
  <c r="N371" i="1"/>
  <c r="M371" i="1"/>
  <c r="Q370" i="1"/>
  <c r="P370" i="1"/>
  <c r="O370" i="1"/>
  <c r="M370" i="1"/>
  <c r="N370" i="1" s="1"/>
  <c r="Q369" i="1"/>
  <c r="P369" i="1"/>
  <c r="O369" i="1"/>
  <c r="M369" i="1"/>
  <c r="N369" i="1" s="1"/>
  <c r="Q368" i="1"/>
  <c r="P368" i="1"/>
  <c r="O368" i="1"/>
  <c r="M368" i="1"/>
  <c r="N368" i="1" s="1"/>
  <c r="Q367" i="1"/>
  <c r="P367" i="1"/>
  <c r="O367" i="1"/>
  <c r="N367" i="1"/>
  <c r="M367" i="1"/>
  <c r="Q366" i="1"/>
  <c r="P366" i="1"/>
  <c r="O366" i="1"/>
  <c r="M366" i="1"/>
  <c r="N366" i="1" s="1"/>
  <c r="Q365" i="1"/>
  <c r="P365" i="1"/>
  <c r="O365" i="1"/>
  <c r="M365" i="1"/>
  <c r="N365" i="1" s="1"/>
  <c r="Q364" i="1"/>
  <c r="P364" i="1"/>
  <c r="O364" i="1"/>
  <c r="M364" i="1"/>
  <c r="N364" i="1" s="1"/>
  <c r="Q363" i="1"/>
  <c r="P363" i="1"/>
  <c r="O363" i="1"/>
  <c r="N363" i="1"/>
  <c r="M363" i="1"/>
  <c r="Q362" i="1"/>
  <c r="P362" i="1"/>
  <c r="O362" i="1"/>
  <c r="M362" i="1"/>
  <c r="N362" i="1" s="1"/>
  <c r="Q361" i="1"/>
  <c r="P361" i="1"/>
  <c r="O361" i="1"/>
  <c r="M361" i="1"/>
  <c r="N361" i="1" s="1"/>
  <c r="Q360" i="1"/>
  <c r="P360" i="1"/>
  <c r="O360" i="1"/>
  <c r="M360" i="1"/>
  <c r="N360" i="1" s="1"/>
  <c r="Q359" i="1"/>
  <c r="P359" i="1"/>
  <c r="O359" i="1"/>
  <c r="N359" i="1"/>
  <c r="M359" i="1"/>
  <c r="Q358" i="1"/>
  <c r="P358" i="1"/>
  <c r="O358" i="1"/>
  <c r="M358" i="1"/>
  <c r="N358" i="1" s="1"/>
  <c r="Q357" i="1"/>
  <c r="P357" i="1"/>
  <c r="O357" i="1"/>
  <c r="M357" i="1"/>
  <c r="N357" i="1" s="1"/>
  <c r="Q356" i="1"/>
  <c r="P356" i="1"/>
  <c r="O356" i="1"/>
  <c r="M356" i="1"/>
  <c r="N356" i="1" s="1"/>
  <c r="Q355" i="1"/>
  <c r="P355" i="1"/>
  <c r="O355" i="1"/>
  <c r="N355" i="1"/>
  <c r="M355" i="1"/>
  <c r="Q354" i="1"/>
  <c r="P354" i="1"/>
  <c r="O354" i="1"/>
  <c r="M354" i="1"/>
  <c r="N354" i="1" s="1"/>
  <c r="Q353" i="1"/>
  <c r="P353" i="1"/>
  <c r="O353" i="1"/>
  <c r="M353" i="1"/>
  <c r="N353" i="1" s="1"/>
  <c r="Q352" i="1"/>
  <c r="P352" i="1"/>
  <c r="O352" i="1"/>
  <c r="M352" i="1"/>
  <c r="N352" i="1" s="1"/>
  <c r="Q351" i="1"/>
  <c r="P351" i="1"/>
  <c r="O351" i="1"/>
  <c r="N351" i="1"/>
  <c r="M351" i="1"/>
  <c r="Q350" i="1"/>
  <c r="P350" i="1"/>
  <c r="O350" i="1"/>
  <c r="M350" i="1"/>
  <c r="N350" i="1" s="1"/>
  <c r="Q349" i="1"/>
  <c r="P349" i="1"/>
  <c r="O349" i="1"/>
  <c r="M349" i="1"/>
  <c r="N349" i="1" s="1"/>
  <c r="Q348" i="1"/>
  <c r="P348" i="1"/>
  <c r="O348" i="1"/>
  <c r="M348" i="1"/>
  <c r="N348" i="1" s="1"/>
  <c r="Q347" i="1"/>
  <c r="P347" i="1"/>
  <c r="O347" i="1"/>
  <c r="N347" i="1"/>
  <c r="M347" i="1"/>
  <c r="Q346" i="1"/>
  <c r="P346" i="1"/>
  <c r="O346" i="1"/>
  <c r="M346" i="1"/>
  <c r="N346" i="1" s="1"/>
  <c r="Q345" i="1"/>
  <c r="P345" i="1"/>
  <c r="O345" i="1"/>
  <c r="M345" i="1"/>
  <c r="N345" i="1" s="1"/>
  <c r="Q344" i="1"/>
  <c r="P344" i="1"/>
  <c r="O344" i="1"/>
  <c r="M344" i="1"/>
  <c r="N344" i="1" s="1"/>
  <c r="Q343" i="1"/>
  <c r="P343" i="1"/>
  <c r="O343" i="1"/>
  <c r="N343" i="1"/>
  <c r="M343" i="1"/>
  <c r="Q342" i="1"/>
  <c r="P342" i="1"/>
  <c r="O342" i="1"/>
  <c r="M342" i="1"/>
  <c r="N342" i="1" s="1"/>
  <c r="Q341" i="1"/>
  <c r="P341" i="1"/>
  <c r="O341" i="1"/>
  <c r="M341" i="1"/>
  <c r="N341" i="1" s="1"/>
  <c r="Q340" i="1"/>
  <c r="P340" i="1"/>
  <c r="O340" i="1"/>
  <c r="M340" i="1"/>
  <c r="N340" i="1" s="1"/>
  <c r="Q339" i="1"/>
  <c r="P339" i="1"/>
  <c r="O339" i="1"/>
  <c r="N339" i="1"/>
  <c r="M339" i="1"/>
  <c r="Q338" i="1"/>
  <c r="P338" i="1"/>
  <c r="O338" i="1"/>
  <c r="M338" i="1"/>
  <c r="N338" i="1" s="1"/>
  <c r="Q337" i="1"/>
  <c r="P337" i="1"/>
  <c r="O337" i="1"/>
  <c r="M337" i="1"/>
  <c r="N337" i="1" s="1"/>
  <c r="Q336" i="1"/>
  <c r="P336" i="1"/>
  <c r="O336" i="1"/>
  <c r="M336" i="1"/>
  <c r="N336" i="1" s="1"/>
  <c r="Q335" i="1"/>
  <c r="P335" i="1"/>
  <c r="O335" i="1"/>
  <c r="N335" i="1"/>
  <c r="M335" i="1"/>
  <c r="Q334" i="1"/>
  <c r="P334" i="1"/>
  <c r="O334" i="1"/>
  <c r="M334" i="1"/>
  <c r="N334" i="1" s="1"/>
  <c r="Q333" i="1"/>
  <c r="P333" i="1"/>
  <c r="O333" i="1"/>
  <c r="M333" i="1"/>
  <c r="N333" i="1" s="1"/>
  <c r="Q332" i="1"/>
  <c r="P332" i="1"/>
  <c r="O332" i="1"/>
  <c r="M332" i="1"/>
  <c r="N332" i="1" s="1"/>
  <c r="Q331" i="1"/>
  <c r="P331" i="1"/>
  <c r="O331" i="1"/>
  <c r="N331" i="1"/>
  <c r="M331" i="1"/>
  <c r="Q330" i="1"/>
  <c r="P330" i="1"/>
  <c r="O330" i="1"/>
  <c r="M330" i="1"/>
  <c r="N330" i="1" s="1"/>
  <c r="Q329" i="1"/>
  <c r="P329" i="1"/>
  <c r="O329" i="1"/>
  <c r="M329" i="1"/>
  <c r="N329" i="1" s="1"/>
  <c r="Q328" i="1"/>
  <c r="P328" i="1"/>
  <c r="O328" i="1"/>
  <c r="M328" i="1"/>
  <c r="N328" i="1" s="1"/>
  <c r="Q327" i="1"/>
  <c r="P327" i="1"/>
  <c r="O327" i="1"/>
  <c r="N327" i="1"/>
  <c r="M327" i="1"/>
  <c r="Q326" i="1"/>
  <c r="P326" i="1"/>
  <c r="O326" i="1"/>
  <c r="M326" i="1"/>
  <c r="N326" i="1" s="1"/>
  <c r="Q325" i="1"/>
  <c r="P325" i="1"/>
  <c r="O325" i="1"/>
  <c r="M325" i="1"/>
  <c r="N325" i="1" s="1"/>
  <c r="Q324" i="1"/>
  <c r="P324" i="1"/>
  <c r="O324" i="1"/>
  <c r="M324" i="1"/>
  <c r="N324" i="1" s="1"/>
  <c r="Q323" i="1"/>
  <c r="P323" i="1"/>
  <c r="O323" i="1"/>
  <c r="N323" i="1"/>
  <c r="M323" i="1"/>
  <c r="Q322" i="1"/>
  <c r="P322" i="1"/>
  <c r="O322" i="1"/>
  <c r="N322" i="1"/>
  <c r="M322" i="1"/>
  <c r="Q321" i="1"/>
  <c r="P321" i="1"/>
  <c r="O321" i="1"/>
  <c r="M321" i="1"/>
  <c r="N321" i="1" s="1"/>
  <c r="Q320" i="1"/>
  <c r="P320" i="1"/>
  <c r="O320" i="1"/>
  <c r="M320" i="1"/>
  <c r="N320" i="1" s="1"/>
  <c r="Q319" i="1"/>
  <c r="P319" i="1"/>
  <c r="O319" i="1"/>
  <c r="N319" i="1"/>
  <c r="M319" i="1"/>
  <c r="Q318" i="1"/>
  <c r="P318" i="1"/>
  <c r="O318" i="1"/>
  <c r="N318" i="1"/>
  <c r="M318" i="1"/>
  <c r="Q317" i="1"/>
  <c r="P317" i="1"/>
  <c r="O317" i="1"/>
  <c r="M317" i="1"/>
  <c r="N317" i="1" s="1"/>
  <c r="Q316" i="1"/>
  <c r="P316" i="1"/>
  <c r="O316" i="1"/>
  <c r="M316" i="1"/>
  <c r="N316" i="1" s="1"/>
  <c r="Q315" i="1"/>
  <c r="P315" i="1"/>
  <c r="O315" i="1"/>
  <c r="N315" i="1"/>
  <c r="M315" i="1"/>
  <c r="Q314" i="1"/>
  <c r="P314" i="1"/>
  <c r="O314" i="1"/>
  <c r="N314" i="1"/>
  <c r="M314" i="1"/>
  <c r="Q313" i="1"/>
  <c r="P313" i="1"/>
  <c r="O313" i="1"/>
  <c r="M313" i="1"/>
  <c r="N313" i="1" s="1"/>
  <c r="Q312" i="1"/>
  <c r="P312" i="1"/>
  <c r="O312" i="1"/>
  <c r="M312" i="1"/>
  <c r="N312" i="1" s="1"/>
  <c r="Q311" i="1"/>
  <c r="P311" i="1"/>
  <c r="O311" i="1"/>
  <c r="N311" i="1"/>
  <c r="M311" i="1"/>
  <c r="Q310" i="1"/>
  <c r="P310" i="1"/>
  <c r="O310" i="1"/>
  <c r="N310" i="1"/>
  <c r="M310" i="1"/>
  <c r="Q309" i="1"/>
  <c r="P309" i="1"/>
  <c r="O309" i="1"/>
  <c r="M309" i="1"/>
  <c r="N309" i="1" s="1"/>
  <c r="Q308" i="1"/>
  <c r="P308" i="1"/>
  <c r="O308" i="1"/>
  <c r="M308" i="1"/>
  <c r="N308" i="1" s="1"/>
  <c r="Q307" i="1"/>
  <c r="P307" i="1"/>
  <c r="O307" i="1"/>
  <c r="N307" i="1"/>
  <c r="M307" i="1"/>
  <c r="Q306" i="1"/>
  <c r="P306" i="1"/>
  <c r="O306" i="1"/>
  <c r="N306" i="1"/>
  <c r="M306" i="1"/>
  <c r="Q305" i="1"/>
  <c r="P305" i="1"/>
  <c r="O305" i="1"/>
  <c r="M305" i="1"/>
  <c r="N305" i="1" s="1"/>
  <c r="Q304" i="1"/>
  <c r="P304" i="1"/>
  <c r="O304" i="1"/>
  <c r="M304" i="1"/>
  <c r="N304" i="1" s="1"/>
  <c r="Q303" i="1"/>
  <c r="P303" i="1"/>
  <c r="O303" i="1"/>
  <c r="N303" i="1"/>
  <c r="M303" i="1"/>
  <c r="Q302" i="1"/>
  <c r="P302" i="1"/>
  <c r="O302" i="1"/>
  <c r="N302" i="1"/>
  <c r="M302" i="1"/>
  <c r="Q301" i="1"/>
  <c r="P301" i="1"/>
  <c r="O301" i="1"/>
  <c r="M301" i="1"/>
  <c r="N301" i="1" s="1"/>
  <c r="Q300" i="1"/>
  <c r="P300" i="1"/>
  <c r="O300" i="1"/>
  <c r="M300" i="1"/>
  <c r="N300" i="1" s="1"/>
  <c r="Q299" i="1"/>
  <c r="P299" i="1"/>
  <c r="O299" i="1"/>
  <c r="N299" i="1"/>
  <c r="M299" i="1"/>
  <c r="Q298" i="1"/>
  <c r="P298" i="1"/>
  <c r="O298" i="1"/>
  <c r="N298" i="1"/>
  <c r="M298" i="1"/>
  <c r="Q297" i="1"/>
  <c r="P297" i="1"/>
  <c r="O297" i="1"/>
  <c r="M297" i="1"/>
  <c r="N297" i="1" s="1"/>
  <c r="Q296" i="1"/>
  <c r="P296" i="1"/>
  <c r="O296" i="1"/>
  <c r="M296" i="1"/>
  <c r="N296" i="1" s="1"/>
  <c r="Q295" i="1"/>
  <c r="P295" i="1"/>
  <c r="O295" i="1"/>
  <c r="N295" i="1"/>
  <c r="M295" i="1"/>
  <c r="Q294" i="1"/>
  <c r="P294" i="1"/>
  <c r="O294" i="1"/>
  <c r="N294" i="1"/>
  <c r="M294" i="1"/>
  <c r="Q293" i="1"/>
  <c r="P293" i="1"/>
  <c r="O293" i="1"/>
  <c r="M293" i="1"/>
  <c r="N293" i="1" s="1"/>
  <c r="Q292" i="1"/>
  <c r="P292" i="1"/>
  <c r="O292" i="1"/>
  <c r="M292" i="1"/>
  <c r="N292" i="1" s="1"/>
  <c r="Q291" i="1"/>
  <c r="P291" i="1"/>
  <c r="O291" i="1"/>
  <c r="N291" i="1"/>
  <c r="M291" i="1"/>
  <c r="Q290" i="1"/>
  <c r="P290" i="1"/>
  <c r="O290" i="1"/>
  <c r="N290" i="1"/>
  <c r="M290" i="1"/>
  <c r="Q289" i="1"/>
  <c r="P289" i="1"/>
  <c r="O289" i="1"/>
  <c r="M289" i="1"/>
  <c r="N289" i="1" s="1"/>
  <c r="Q288" i="1"/>
  <c r="P288" i="1"/>
  <c r="O288" i="1"/>
  <c r="M288" i="1"/>
  <c r="N288" i="1" s="1"/>
  <c r="Q287" i="1"/>
  <c r="P287" i="1"/>
  <c r="O287" i="1"/>
  <c r="N287" i="1"/>
  <c r="M287" i="1"/>
  <c r="Q286" i="1"/>
  <c r="P286" i="1"/>
  <c r="O286" i="1"/>
  <c r="M286" i="1"/>
  <c r="N286" i="1" s="1"/>
  <c r="Q285" i="1"/>
  <c r="P285" i="1"/>
  <c r="O285" i="1"/>
  <c r="M285" i="1"/>
  <c r="N285" i="1" s="1"/>
  <c r="Q284" i="1"/>
  <c r="P284" i="1"/>
  <c r="O284" i="1"/>
  <c r="M284" i="1"/>
  <c r="N284" i="1" s="1"/>
  <c r="Q283" i="1"/>
  <c r="P283" i="1"/>
  <c r="O283" i="1"/>
  <c r="N283" i="1"/>
  <c r="M283" i="1"/>
  <c r="Q282" i="1"/>
  <c r="P282" i="1"/>
  <c r="O282" i="1"/>
  <c r="M282" i="1"/>
  <c r="N282" i="1" s="1"/>
  <c r="Q281" i="1"/>
  <c r="P281" i="1"/>
  <c r="O281" i="1"/>
  <c r="M281" i="1"/>
  <c r="N281" i="1" s="1"/>
  <c r="Q280" i="1"/>
  <c r="P280" i="1"/>
  <c r="O280" i="1"/>
  <c r="M280" i="1"/>
  <c r="N280" i="1" s="1"/>
  <c r="Q279" i="1"/>
  <c r="P279" i="1"/>
  <c r="O279" i="1"/>
  <c r="N279" i="1"/>
  <c r="M279" i="1"/>
  <c r="Q278" i="1"/>
  <c r="P278" i="1"/>
  <c r="O278" i="1"/>
  <c r="M278" i="1"/>
  <c r="N278" i="1" s="1"/>
  <c r="Q277" i="1"/>
  <c r="P277" i="1"/>
  <c r="O277" i="1"/>
  <c r="M277" i="1"/>
  <c r="N277" i="1" s="1"/>
  <c r="Q276" i="1"/>
  <c r="P276" i="1"/>
  <c r="O276" i="1"/>
  <c r="M276" i="1"/>
  <c r="N276" i="1" s="1"/>
  <c r="Q275" i="1"/>
  <c r="P275" i="1"/>
  <c r="O275" i="1"/>
  <c r="N275" i="1"/>
  <c r="M275" i="1"/>
  <c r="Q274" i="1"/>
  <c r="P274" i="1"/>
  <c r="O274" i="1"/>
  <c r="M274" i="1"/>
  <c r="N274" i="1" s="1"/>
  <c r="Q273" i="1"/>
  <c r="P273" i="1"/>
  <c r="O273" i="1"/>
  <c r="M273" i="1"/>
  <c r="N273" i="1" s="1"/>
  <c r="Q272" i="1"/>
  <c r="P272" i="1"/>
  <c r="O272" i="1"/>
  <c r="M272" i="1"/>
  <c r="N272" i="1" s="1"/>
  <c r="Q271" i="1"/>
  <c r="P271" i="1"/>
  <c r="O271" i="1"/>
  <c r="N271" i="1"/>
  <c r="M271" i="1"/>
  <c r="Q270" i="1"/>
  <c r="P270" i="1"/>
  <c r="O270" i="1"/>
  <c r="M270" i="1"/>
  <c r="N270" i="1" s="1"/>
  <c r="Q269" i="1"/>
  <c r="P269" i="1"/>
  <c r="O269" i="1"/>
  <c r="M269" i="1"/>
  <c r="N269" i="1" s="1"/>
  <c r="Q268" i="1"/>
  <c r="P268" i="1"/>
  <c r="O268" i="1"/>
  <c r="M268" i="1"/>
  <c r="N268" i="1" s="1"/>
  <c r="Q267" i="1"/>
  <c r="P267" i="1"/>
  <c r="O267" i="1"/>
  <c r="N267" i="1"/>
  <c r="M267" i="1"/>
  <c r="Q266" i="1"/>
  <c r="P266" i="1"/>
  <c r="O266" i="1"/>
  <c r="M266" i="1"/>
  <c r="N266" i="1" s="1"/>
  <c r="Q265" i="1"/>
  <c r="P265" i="1"/>
  <c r="O265" i="1"/>
  <c r="M265" i="1"/>
  <c r="N265" i="1" s="1"/>
  <c r="Q264" i="1"/>
  <c r="P264" i="1"/>
  <c r="O264" i="1"/>
  <c r="M264" i="1"/>
  <c r="N264" i="1" s="1"/>
  <c r="Q263" i="1"/>
  <c r="P263" i="1"/>
  <c r="O263" i="1"/>
  <c r="N263" i="1"/>
  <c r="M263" i="1"/>
  <c r="Q262" i="1"/>
  <c r="P262" i="1"/>
  <c r="O262" i="1"/>
  <c r="M262" i="1"/>
  <c r="N262" i="1" s="1"/>
  <c r="Q261" i="1"/>
  <c r="P261" i="1"/>
  <c r="O261" i="1"/>
  <c r="M261" i="1"/>
  <c r="N261" i="1" s="1"/>
  <c r="Q260" i="1"/>
  <c r="P260" i="1"/>
  <c r="O260" i="1"/>
  <c r="M260" i="1"/>
  <c r="N260" i="1" s="1"/>
  <c r="Q259" i="1"/>
  <c r="P259" i="1"/>
  <c r="O259" i="1"/>
  <c r="N259" i="1"/>
  <c r="M259" i="1"/>
  <c r="Q258" i="1"/>
  <c r="P258" i="1"/>
  <c r="O258" i="1"/>
  <c r="M258" i="1"/>
  <c r="N258" i="1" s="1"/>
  <c r="Q257" i="1"/>
  <c r="P257" i="1"/>
  <c r="O257" i="1"/>
  <c r="M257" i="1"/>
  <c r="N257" i="1" s="1"/>
  <c r="Q256" i="1"/>
  <c r="P256" i="1"/>
  <c r="O256" i="1"/>
  <c r="M256" i="1"/>
  <c r="N256" i="1" s="1"/>
  <c r="Q255" i="1"/>
  <c r="P255" i="1"/>
  <c r="O255" i="1"/>
  <c r="N255" i="1"/>
  <c r="M255" i="1"/>
  <c r="Q254" i="1"/>
  <c r="P254" i="1"/>
  <c r="O254" i="1"/>
  <c r="M254" i="1"/>
  <c r="N254" i="1" s="1"/>
  <c r="Q253" i="1"/>
  <c r="P253" i="1"/>
  <c r="O253" i="1"/>
  <c r="M253" i="1"/>
  <c r="N253" i="1" s="1"/>
  <c r="Q252" i="1"/>
  <c r="P252" i="1"/>
  <c r="O252" i="1"/>
  <c r="M252" i="1"/>
  <c r="N252" i="1" s="1"/>
  <c r="Q251" i="1"/>
  <c r="P251" i="1"/>
  <c r="O251" i="1"/>
  <c r="N251" i="1"/>
  <c r="M251" i="1"/>
  <c r="Q250" i="1"/>
  <c r="P250" i="1"/>
  <c r="O250" i="1"/>
  <c r="M250" i="1"/>
  <c r="N250" i="1" s="1"/>
  <c r="Q249" i="1"/>
  <c r="P249" i="1"/>
  <c r="O249" i="1"/>
  <c r="M249" i="1"/>
  <c r="N249" i="1" s="1"/>
  <c r="Q248" i="1"/>
  <c r="P248" i="1"/>
  <c r="O248" i="1"/>
  <c r="M248" i="1"/>
  <c r="N248" i="1" s="1"/>
  <c r="Q247" i="1"/>
  <c r="P247" i="1"/>
  <c r="O247" i="1"/>
  <c r="N247" i="1"/>
  <c r="M247" i="1"/>
  <c r="Q246" i="1"/>
  <c r="P246" i="1"/>
  <c r="O246" i="1"/>
  <c r="M246" i="1"/>
  <c r="N246" i="1" s="1"/>
  <c r="Q245" i="1"/>
  <c r="P245" i="1"/>
  <c r="O245" i="1"/>
  <c r="M245" i="1"/>
  <c r="N245" i="1" s="1"/>
  <c r="Q244" i="1"/>
  <c r="P244" i="1"/>
  <c r="O244" i="1"/>
  <c r="M244" i="1"/>
  <c r="N244" i="1" s="1"/>
  <c r="Q243" i="1"/>
  <c r="P243" i="1"/>
  <c r="O243" i="1"/>
  <c r="N243" i="1"/>
  <c r="M243" i="1"/>
  <c r="Q242" i="1"/>
  <c r="P242" i="1"/>
  <c r="O242" i="1"/>
  <c r="M242" i="1"/>
  <c r="N242" i="1" s="1"/>
  <c r="Q241" i="1"/>
  <c r="P241" i="1"/>
  <c r="O241" i="1"/>
  <c r="M241" i="1"/>
  <c r="N241" i="1" s="1"/>
  <c r="Q240" i="1"/>
  <c r="P240" i="1"/>
  <c r="O240" i="1"/>
  <c r="M240" i="1"/>
  <c r="N240" i="1" s="1"/>
  <c r="Q239" i="1"/>
  <c r="P239" i="1"/>
  <c r="O239" i="1"/>
  <c r="N239" i="1"/>
  <c r="M239" i="1"/>
  <c r="Q238" i="1"/>
  <c r="P238" i="1"/>
  <c r="O238" i="1"/>
  <c r="M238" i="1"/>
  <c r="N238" i="1" s="1"/>
  <c r="Q237" i="1"/>
  <c r="P237" i="1"/>
  <c r="O237" i="1"/>
  <c r="M237" i="1"/>
  <c r="N237" i="1" s="1"/>
  <c r="Q236" i="1"/>
  <c r="P236" i="1"/>
  <c r="O236" i="1"/>
  <c r="M236" i="1"/>
  <c r="N236" i="1" s="1"/>
  <c r="Q235" i="1"/>
  <c r="P235" i="1"/>
  <c r="O235" i="1"/>
  <c r="N235" i="1"/>
  <c r="M235" i="1"/>
  <c r="Q234" i="1"/>
  <c r="P234" i="1"/>
  <c r="O234" i="1"/>
  <c r="M234" i="1"/>
  <c r="N234" i="1" s="1"/>
  <c r="Q233" i="1"/>
  <c r="P233" i="1"/>
  <c r="O233" i="1"/>
  <c r="M233" i="1"/>
  <c r="N233" i="1" s="1"/>
  <c r="Q232" i="1"/>
  <c r="P232" i="1"/>
  <c r="O232" i="1"/>
  <c r="M232" i="1"/>
  <c r="N232" i="1" s="1"/>
  <c r="Q231" i="1"/>
  <c r="P231" i="1"/>
  <c r="O231" i="1"/>
  <c r="N231" i="1"/>
  <c r="M231" i="1"/>
  <c r="Q230" i="1"/>
  <c r="P230" i="1"/>
  <c r="O230" i="1"/>
  <c r="M230" i="1"/>
  <c r="N230" i="1" s="1"/>
  <c r="Q229" i="1"/>
  <c r="P229" i="1"/>
  <c r="O229" i="1"/>
  <c r="M229" i="1"/>
  <c r="N229" i="1" s="1"/>
  <c r="Q228" i="1"/>
  <c r="P228" i="1"/>
  <c r="O228" i="1"/>
  <c r="M228" i="1"/>
  <c r="N228" i="1" s="1"/>
  <c r="Q227" i="1"/>
  <c r="P227" i="1"/>
  <c r="O227" i="1"/>
  <c r="N227" i="1"/>
  <c r="M227" i="1"/>
  <c r="Q226" i="1"/>
  <c r="P226" i="1"/>
  <c r="O226" i="1"/>
  <c r="M226" i="1"/>
  <c r="N226" i="1" s="1"/>
  <c r="Q225" i="1"/>
  <c r="P225" i="1"/>
  <c r="O225" i="1"/>
  <c r="M225" i="1"/>
  <c r="N225" i="1" s="1"/>
  <c r="Q224" i="1"/>
  <c r="P224" i="1"/>
  <c r="O224" i="1"/>
  <c r="M224" i="1"/>
  <c r="N224" i="1" s="1"/>
  <c r="Q223" i="1"/>
  <c r="P223" i="1"/>
  <c r="O223" i="1"/>
  <c r="N223" i="1"/>
  <c r="M223" i="1"/>
  <c r="Q222" i="1"/>
  <c r="P222" i="1"/>
  <c r="O222" i="1"/>
  <c r="M222" i="1"/>
  <c r="N222" i="1" s="1"/>
  <c r="Q221" i="1"/>
  <c r="P221" i="1"/>
  <c r="O221" i="1"/>
  <c r="M221" i="1"/>
  <c r="N221" i="1" s="1"/>
  <c r="Q220" i="1"/>
  <c r="P220" i="1"/>
  <c r="O220" i="1"/>
  <c r="M220" i="1"/>
  <c r="N220" i="1" s="1"/>
  <c r="Q219" i="1"/>
  <c r="P219" i="1"/>
  <c r="O219" i="1"/>
  <c r="N219" i="1"/>
  <c r="M219" i="1"/>
  <c r="Q218" i="1"/>
  <c r="P218" i="1"/>
  <c r="O218" i="1"/>
  <c r="M218" i="1"/>
  <c r="N218" i="1" s="1"/>
  <c r="Q217" i="1"/>
  <c r="P217" i="1"/>
  <c r="O217" i="1"/>
  <c r="M217" i="1"/>
  <c r="N217" i="1" s="1"/>
  <c r="Q216" i="1"/>
  <c r="P216" i="1"/>
  <c r="O216" i="1"/>
  <c r="M216" i="1"/>
  <c r="N216" i="1" s="1"/>
  <c r="Q215" i="1"/>
  <c r="P215" i="1"/>
  <c r="O215" i="1"/>
  <c r="N215" i="1"/>
  <c r="M215" i="1"/>
  <c r="Q214" i="1"/>
  <c r="P214" i="1"/>
  <c r="O214" i="1"/>
  <c r="M214" i="1"/>
  <c r="N214" i="1" s="1"/>
  <c r="Q213" i="1"/>
  <c r="P213" i="1"/>
  <c r="O213" i="1"/>
  <c r="M213" i="1"/>
  <c r="N213" i="1" s="1"/>
  <c r="Q212" i="1"/>
  <c r="P212" i="1"/>
  <c r="O212" i="1"/>
  <c r="M212" i="1"/>
  <c r="N212" i="1" s="1"/>
  <c r="Q211" i="1"/>
  <c r="P211" i="1"/>
  <c r="O211" i="1"/>
  <c r="N211" i="1"/>
  <c r="M211" i="1"/>
  <c r="Q210" i="1"/>
  <c r="P210" i="1"/>
  <c r="O210" i="1"/>
  <c r="M210" i="1"/>
  <c r="N210" i="1" s="1"/>
  <c r="Q209" i="1"/>
  <c r="P209" i="1"/>
  <c r="O209" i="1"/>
  <c r="M209" i="1"/>
  <c r="N209" i="1" s="1"/>
  <c r="Q208" i="1"/>
  <c r="P208" i="1"/>
  <c r="O208" i="1"/>
  <c r="M208" i="1"/>
  <c r="N208" i="1" s="1"/>
  <c r="Q207" i="1"/>
  <c r="P207" i="1"/>
  <c r="O207" i="1"/>
  <c r="N207" i="1"/>
  <c r="M207" i="1"/>
  <c r="Q206" i="1"/>
  <c r="P206" i="1"/>
  <c r="O206" i="1"/>
  <c r="M206" i="1"/>
  <c r="N206" i="1" s="1"/>
  <c r="Q205" i="1"/>
  <c r="P205" i="1"/>
  <c r="O205" i="1"/>
  <c r="M205" i="1"/>
  <c r="N205" i="1" s="1"/>
  <c r="Q204" i="1"/>
  <c r="P204" i="1"/>
  <c r="O204" i="1"/>
  <c r="M204" i="1"/>
  <c r="N204" i="1" s="1"/>
  <c r="Q203" i="1"/>
  <c r="P203" i="1"/>
  <c r="O203" i="1"/>
  <c r="N203" i="1"/>
  <c r="M203" i="1"/>
  <c r="Q202" i="1"/>
  <c r="P202" i="1"/>
  <c r="O202" i="1"/>
  <c r="M202" i="1"/>
  <c r="N202" i="1" s="1"/>
  <c r="Q201" i="1"/>
  <c r="P201" i="1"/>
  <c r="O201" i="1"/>
  <c r="M201" i="1"/>
  <c r="N201" i="1" s="1"/>
  <c r="Q200" i="1"/>
  <c r="P200" i="1"/>
  <c r="O200" i="1"/>
  <c r="M200" i="1"/>
  <c r="N200" i="1" s="1"/>
  <c r="Q199" i="1"/>
  <c r="P199" i="1"/>
  <c r="O199" i="1"/>
  <c r="N199" i="1"/>
  <c r="M199" i="1"/>
  <c r="Q198" i="1"/>
  <c r="P198" i="1"/>
  <c r="O198" i="1"/>
  <c r="M198" i="1"/>
  <c r="N198" i="1" s="1"/>
  <c r="Q197" i="1"/>
  <c r="P197" i="1"/>
  <c r="O197" i="1"/>
  <c r="M197" i="1"/>
  <c r="N197" i="1" s="1"/>
  <c r="Q196" i="1"/>
  <c r="P196" i="1"/>
  <c r="O196" i="1"/>
  <c r="M196" i="1"/>
  <c r="N196" i="1" s="1"/>
  <c r="Q195" i="1"/>
  <c r="P195" i="1"/>
  <c r="O195" i="1"/>
  <c r="N195" i="1"/>
  <c r="M195" i="1"/>
  <c r="Q194" i="1"/>
  <c r="P194" i="1"/>
  <c r="O194" i="1"/>
  <c r="M194" i="1"/>
  <c r="N194" i="1" s="1"/>
  <c r="Q193" i="1"/>
  <c r="P193" i="1"/>
  <c r="O193" i="1"/>
  <c r="M193" i="1"/>
  <c r="N193" i="1" s="1"/>
  <c r="Q192" i="1"/>
  <c r="P192" i="1"/>
  <c r="O192" i="1"/>
  <c r="M192" i="1"/>
  <c r="N192" i="1" s="1"/>
  <c r="Q191" i="1"/>
  <c r="P191" i="1"/>
  <c r="O191" i="1"/>
  <c r="N191" i="1"/>
  <c r="M191" i="1"/>
  <c r="Q190" i="1"/>
  <c r="P190" i="1"/>
  <c r="O190" i="1"/>
  <c r="M190" i="1"/>
  <c r="N190" i="1" s="1"/>
  <c r="Q189" i="1"/>
  <c r="P189" i="1"/>
  <c r="O189" i="1"/>
  <c r="M189" i="1"/>
  <c r="N189" i="1" s="1"/>
  <c r="Q188" i="1"/>
  <c r="P188" i="1"/>
  <c r="O188" i="1"/>
  <c r="M188" i="1"/>
  <c r="N188" i="1" s="1"/>
  <c r="Q187" i="1"/>
  <c r="P187" i="1"/>
  <c r="O187" i="1"/>
  <c r="N187" i="1"/>
  <c r="M187" i="1"/>
  <c r="Q186" i="1"/>
  <c r="P186" i="1"/>
  <c r="O186" i="1"/>
  <c r="M186" i="1"/>
  <c r="N186" i="1" s="1"/>
  <c r="Q185" i="1"/>
  <c r="P185" i="1"/>
  <c r="O185" i="1"/>
  <c r="M185" i="1"/>
  <c r="N185" i="1" s="1"/>
  <c r="Q184" i="1"/>
  <c r="P184" i="1"/>
  <c r="O184" i="1"/>
  <c r="M184" i="1"/>
  <c r="N184" i="1" s="1"/>
  <c r="Q183" i="1"/>
  <c r="P183" i="1"/>
  <c r="O183" i="1"/>
  <c r="N183" i="1"/>
  <c r="M183" i="1"/>
  <c r="Q182" i="1"/>
  <c r="P182" i="1"/>
  <c r="O182" i="1"/>
  <c r="M182" i="1"/>
  <c r="N182" i="1" s="1"/>
  <c r="Q181" i="1"/>
  <c r="P181" i="1"/>
  <c r="O181" i="1"/>
  <c r="M181" i="1"/>
  <c r="N181" i="1" s="1"/>
  <c r="Q180" i="1"/>
  <c r="P180" i="1"/>
  <c r="O180" i="1"/>
  <c r="M180" i="1"/>
  <c r="N180" i="1" s="1"/>
  <c r="Q179" i="1"/>
  <c r="P179" i="1"/>
  <c r="O179" i="1"/>
  <c r="N179" i="1"/>
  <c r="M179" i="1"/>
  <c r="Q178" i="1"/>
  <c r="P178" i="1"/>
  <c r="O178" i="1"/>
  <c r="M178" i="1"/>
  <c r="N178" i="1" s="1"/>
  <c r="Q177" i="1"/>
  <c r="P177" i="1"/>
  <c r="O177" i="1"/>
  <c r="M177" i="1"/>
  <c r="N177" i="1" s="1"/>
  <c r="Q176" i="1"/>
  <c r="P176" i="1"/>
  <c r="O176" i="1"/>
  <c r="M176" i="1"/>
  <c r="N176" i="1" s="1"/>
  <c r="Q175" i="1"/>
  <c r="P175" i="1"/>
  <c r="O175" i="1"/>
  <c r="N175" i="1"/>
  <c r="M175" i="1"/>
  <c r="Q174" i="1"/>
  <c r="P174" i="1"/>
  <c r="O174" i="1"/>
  <c r="M174" i="1"/>
  <c r="N174" i="1" s="1"/>
  <c r="Q173" i="1"/>
  <c r="P173" i="1"/>
  <c r="O173" i="1"/>
  <c r="M173" i="1"/>
  <c r="N173" i="1" s="1"/>
  <c r="Q172" i="1"/>
  <c r="P172" i="1"/>
  <c r="O172" i="1"/>
  <c r="M172" i="1"/>
  <c r="N172" i="1" s="1"/>
  <c r="Q171" i="1"/>
  <c r="P171" i="1"/>
  <c r="O171" i="1"/>
  <c r="N171" i="1"/>
  <c r="M171" i="1"/>
  <c r="Q170" i="1"/>
  <c r="P170" i="1"/>
  <c r="O170" i="1"/>
  <c r="M170" i="1"/>
  <c r="N170" i="1" s="1"/>
  <c r="Q169" i="1"/>
  <c r="P169" i="1"/>
  <c r="O169" i="1"/>
  <c r="M169" i="1"/>
  <c r="N169" i="1" s="1"/>
  <c r="Q168" i="1"/>
  <c r="P168" i="1"/>
  <c r="O168" i="1"/>
  <c r="M168" i="1"/>
  <c r="N168" i="1" s="1"/>
  <c r="Q167" i="1"/>
  <c r="P167" i="1"/>
  <c r="O167" i="1"/>
  <c r="N167" i="1"/>
  <c r="M167" i="1"/>
  <c r="Q166" i="1"/>
  <c r="P166" i="1"/>
  <c r="O166" i="1"/>
  <c r="M166" i="1"/>
  <c r="N166" i="1" s="1"/>
  <c r="Q165" i="1"/>
  <c r="P165" i="1"/>
  <c r="O165" i="1"/>
  <c r="M165" i="1"/>
  <c r="N165" i="1" s="1"/>
  <c r="Q164" i="1"/>
  <c r="P164" i="1"/>
  <c r="O164" i="1"/>
  <c r="M164" i="1"/>
  <c r="N164" i="1" s="1"/>
  <c r="Q163" i="1"/>
  <c r="P163" i="1"/>
  <c r="O163" i="1"/>
  <c r="N163" i="1"/>
  <c r="M163" i="1"/>
  <c r="Q162" i="1"/>
  <c r="P162" i="1"/>
  <c r="O162" i="1"/>
  <c r="M162" i="1"/>
  <c r="N162" i="1" s="1"/>
  <c r="Q161" i="1"/>
  <c r="P161" i="1"/>
  <c r="O161" i="1"/>
  <c r="M161" i="1"/>
  <c r="N161" i="1" s="1"/>
  <c r="Q160" i="1"/>
  <c r="P160" i="1"/>
  <c r="O160" i="1"/>
  <c r="M160" i="1"/>
  <c r="N160" i="1" s="1"/>
  <c r="Q159" i="1"/>
  <c r="P159" i="1"/>
  <c r="O159" i="1"/>
  <c r="N159" i="1"/>
  <c r="M159" i="1"/>
  <c r="Q158" i="1"/>
  <c r="P158" i="1"/>
  <c r="O158" i="1"/>
  <c r="M158" i="1"/>
  <c r="N158" i="1" s="1"/>
  <c r="Q157" i="1"/>
  <c r="P157" i="1"/>
  <c r="O157" i="1"/>
  <c r="M157" i="1"/>
  <c r="N157" i="1" s="1"/>
  <c r="Q156" i="1"/>
  <c r="P156" i="1"/>
  <c r="O156" i="1"/>
  <c r="M156" i="1"/>
  <c r="N156" i="1" s="1"/>
  <c r="Q155" i="1"/>
  <c r="P155" i="1"/>
  <c r="O155" i="1"/>
  <c r="N155" i="1"/>
  <c r="M155" i="1"/>
  <c r="Q154" i="1"/>
  <c r="P154" i="1"/>
  <c r="O154" i="1"/>
  <c r="M154" i="1"/>
  <c r="N154" i="1" s="1"/>
  <c r="Q153" i="1"/>
  <c r="P153" i="1"/>
  <c r="O153" i="1"/>
  <c r="M153" i="1"/>
  <c r="N153" i="1" s="1"/>
  <c r="Q152" i="1"/>
  <c r="P152" i="1"/>
  <c r="O152" i="1"/>
  <c r="M152" i="1"/>
  <c r="N152" i="1" s="1"/>
  <c r="Q151" i="1"/>
  <c r="P151" i="1"/>
  <c r="O151" i="1"/>
  <c r="N151" i="1"/>
  <c r="M151" i="1"/>
  <c r="Q150" i="1"/>
  <c r="P150" i="1"/>
  <c r="O150" i="1"/>
  <c r="M150" i="1"/>
  <c r="N150" i="1" s="1"/>
  <c r="Q149" i="1"/>
  <c r="P149" i="1"/>
  <c r="O149" i="1"/>
  <c r="M149" i="1"/>
  <c r="N149" i="1" s="1"/>
  <c r="Q148" i="1"/>
  <c r="P148" i="1"/>
  <c r="O148" i="1"/>
  <c r="M148" i="1"/>
  <c r="N148" i="1" s="1"/>
  <c r="Q147" i="1"/>
  <c r="P147" i="1"/>
  <c r="O147" i="1"/>
  <c r="N147" i="1"/>
  <c r="M147" i="1"/>
  <c r="Q146" i="1"/>
  <c r="P146" i="1"/>
  <c r="O146" i="1"/>
  <c r="M146" i="1"/>
  <c r="N146" i="1" s="1"/>
  <c r="Q145" i="1"/>
  <c r="P145" i="1"/>
  <c r="O145" i="1"/>
  <c r="N145" i="1"/>
  <c r="M145" i="1"/>
  <c r="Q144" i="1"/>
  <c r="P144" i="1"/>
  <c r="O144" i="1"/>
  <c r="M144" i="1"/>
  <c r="N144" i="1" s="1"/>
  <c r="Q143" i="1"/>
  <c r="P143" i="1"/>
  <c r="O143" i="1"/>
  <c r="N143" i="1"/>
  <c r="M143" i="1"/>
  <c r="Q142" i="1"/>
  <c r="P142" i="1"/>
  <c r="O142" i="1"/>
  <c r="M142" i="1"/>
  <c r="N142" i="1" s="1"/>
  <c r="Q141" i="1"/>
  <c r="P141" i="1"/>
  <c r="O141" i="1"/>
  <c r="N141" i="1"/>
  <c r="M141" i="1"/>
  <c r="Q140" i="1"/>
  <c r="P140" i="1"/>
  <c r="O140" i="1"/>
  <c r="M140" i="1"/>
  <c r="N140" i="1" s="1"/>
  <c r="Q139" i="1"/>
  <c r="P139" i="1"/>
  <c r="O139" i="1"/>
  <c r="N139" i="1"/>
  <c r="M139" i="1"/>
  <c r="Q138" i="1"/>
  <c r="P138" i="1"/>
  <c r="O138" i="1"/>
  <c r="M138" i="1"/>
  <c r="N138" i="1" s="1"/>
  <c r="Q137" i="1"/>
  <c r="P137" i="1"/>
  <c r="O137" i="1"/>
  <c r="N137" i="1"/>
  <c r="M137" i="1"/>
  <c r="Q136" i="1"/>
  <c r="P136" i="1"/>
  <c r="O136" i="1"/>
  <c r="M136" i="1"/>
  <c r="N136" i="1" s="1"/>
  <c r="Q135" i="1"/>
  <c r="P135" i="1"/>
  <c r="O135" i="1"/>
  <c r="N135" i="1"/>
  <c r="M135" i="1"/>
  <c r="Q134" i="1"/>
  <c r="P134" i="1"/>
  <c r="O134" i="1"/>
  <c r="M134" i="1"/>
  <c r="N134" i="1" s="1"/>
  <c r="Q133" i="1"/>
  <c r="P133" i="1"/>
  <c r="O133" i="1"/>
  <c r="N133" i="1"/>
  <c r="M133" i="1"/>
  <c r="Q132" i="1"/>
  <c r="P132" i="1"/>
  <c r="O132" i="1"/>
  <c r="M132" i="1"/>
  <c r="N132" i="1" s="1"/>
  <c r="Q131" i="1"/>
  <c r="P131" i="1"/>
  <c r="O131" i="1"/>
  <c r="N131" i="1"/>
  <c r="M131" i="1"/>
  <c r="Q130" i="1"/>
  <c r="P130" i="1"/>
  <c r="O130" i="1"/>
  <c r="M130" i="1"/>
  <c r="N130" i="1" s="1"/>
  <c r="Q129" i="1"/>
  <c r="P129" i="1"/>
  <c r="O129" i="1"/>
  <c r="N129" i="1"/>
  <c r="M129" i="1"/>
  <c r="Q128" i="1"/>
  <c r="P128" i="1"/>
  <c r="O128" i="1"/>
  <c r="M128" i="1"/>
  <c r="N128" i="1" s="1"/>
  <c r="Q127" i="1"/>
  <c r="P127" i="1"/>
  <c r="O127" i="1"/>
  <c r="N127" i="1"/>
  <c r="M127" i="1"/>
  <c r="Q126" i="1"/>
  <c r="P126" i="1"/>
  <c r="O126" i="1"/>
  <c r="M126" i="1"/>
  <c r="N126" i="1" s="1"/>
  <c r="Q125" i="1"/>
  <c r="P125" i="1"/>
  <c r="O125" i="1"/>
  <c r="N125" i="1"/>
  <c r="M125" i="1"/>
  <c r="Q124" i="1"/>
  <c r="P124" i="1"/>
  <c r="O124" i="1"/>
  <c r="M124" i="1"/>
  <c r="N124" i="1" s="1"/>
  <c r="Q123" i="1"/>
  <c r="P123" i="1"/>
  <c r="O123" i="1"/>
  <c r="N123" i="1"/>
  <c r="M123" i="1"/>
  <c r="Q122" i="1"/>
  <c r="P122" i="1"/>
  <c r="O122" i="1"/>
  <c r="M122" i="1"/>
  <c r="N122" i="1" s="1"/>
  <c r="Q121" i="1"/>
  <c r="P121" i="1"/>
  <c r="O121" i="1"/>
  <c r="N121" i="1"/>
  <c r="M121" i="1"/>
  <c r="Q120" i="1"/>
  <c r="P120" i="1"/>
  <c r="O120" i="1"/>
  <c r="M120" i="1"/>
  <c r="N120" i="1" s="1"/>
  <c r="Q119" i="1"/>
  <c r="P119" i="1"/>
  <c r="O119" i="1"/>
  <c r="N119" i="1"/>
  <c r="M119" i="1"/>
  <c r="Q118" i="1"/>
  <c r="P118" i="1"/>
  <c r="O118" i="1"/>
  <c r="M118" i="1"/>
  <c r="N118" i="1" s="1"/>
  <c r="Q117" i="1"/>
  <c r="P117" i="1"/>
  <c r="O117" i="1"/>
  <c r="N117" i="1"/>
  <c r="M117" i="1"/>
  <c r="Q116" i="1"/>
  <c r="P116" i="1"/>
  <c r="O116" i="1"/>
  <c r="M116" i="1"/>
  <c r="N116" i="1" s="1"/>
  <c r="Q115" i="1"/>
  <c r="P115" i="1"/>
  <c r="O115" i="1"/>
  <c r="N115" i="1"/>
  <c r="M115" i="1"/>
  <c r="Q114" i="1"/>
  <c r="P114" i="1"/>
  <c r="O114" i="1"/>
  <c r="M114" i="1"/>
  <c r="N114" i="1" s="1"/>
  <c r="Q113" i="1"/>
  <c r="P113" i="1"/>
  <c r="O113" i="1"/>
  <c r="N113" i="1"/>
  <c r="M113" i="1"/>
  <c r="Q112" i="1"/>
  <c r="P112" i="1"/>
  <c r="O112" i="1"/>
  <c r="M112" i="1"/>
  <c r="N112" i="1" s="1"/>
  <c r="Q111" i="1"/>
  <c r="P111" i="1"/>
  <c r="O111" i="1"/>
  <c r="N111" i="1"/>
  <c r="M111" i="1"/>
  <c r="Q110" i="1"/>
  <c r="P110" i="1"/>
  <c r="O110" i="1"/>
  <c r="M110" i="1"/>
  <c r="N110" i="1" s="1"/>
  <c r="Q109" i="1"/>
  <c r="P109" i="1"/>
  <c r="O109" i="1"/>
  <c r="N109" i="1"/>
  <c r="M109" i="1"/>
  <c r="Q108" i="1"/>
  <c r="P108" i="1"/>
  <c r="O108" i="1"/>
  <c r="M108" i="1"/>
  <c r="N108" i="1" s="1"/>
  <c r="Q107" i="1"/>
  <c r="P107" i="1"/>
  <c r="O107" i="1"/>
  <c r="N107" i="1"/>
  <c r="M107" i="1"/>
  <c r="Q106" i="1"/>
  <c r="P106" i="1"/>
  <c r="O106" i="1"/>
  <c r="M106" i="1"/>
  <c r="N106" i="1" s="1"/>
  <c r="Q105" i="1"/>
  <c r="P105" i="1"/>
  <c r="O105" i="1"/>
  <c r="N105" i="1"/>
  <c r="M105" i="1"/>
  <c r="Q104" i="1"/>
  <c r="P104" i="1"/>
  <c r="O104" i="1"/>
  <c r="M104" i="1"/>
  <c r="N104" i="1" s="1"/>
  <c r="Q103" i="1"/>
  <c r="P103" i="1"/>
  <c r="O103" i="1"/>
  <c r="N103" i="1"/>
  <c r="M103" i="1"/>
  <c r="Q102" i="1"/>
  <c r="P102" i="1"/>
  <c r="O102" i="1"/>
  <c r="M102" i="1"/>
  <c r="N102" i="1" s="1"/>
  <c r="Q101" i="1"/>
  <c r="P101" i="1"/>
  <c r="O101" i="1"/>
  <c r="N101" i="1"/>
  <c r="M101" i="1"/>
  <c r="Q100" i="1"/>
  <c r="P100" i="1"/>
  <c r="O100" i="1"/>
  <c r="M100" i="1"/>
  <c r="N100" i="1" s="1"/>
  <c r="Q99" i="1"/>
  <c r="P99" i="1"/>
  <c r="O99" i="1"/>
  <c r="N99" i="1"/>
  <c r="M99" i="1"/>
  <c r="Q98" i="1"/>
  <c r="P98" i="1"/>
  <c r="O98" i="1"/>
  <c r="M98" i="1"/>
  <c r="N98" i="1" s="1"/>
  <c r="Q97" i="1"/>
  <c r="P97" i="1"/>
  <c r="O97" i="1"/>
  <c r="N97" i="1"/>
  <c r="M97" i="1"/>
  <c r="Q96" i="1"/>
  <c r="P96" i="1"/>
  <c r="O96" i="1"/>
  <c r="M96" i="1"/>
  <c r="N96" i="1" s="1"/>
  <c r="Q95" i="1"/>
  <c r="P95" i="1"/>
  <c r="O95" i="1"/>
  <c r="N95" i="1"/>
  <c r="M95" i="1"/>
  <c r="Q94" i="1"/>
  <c r="P94" i="1"/>
  <c r="O94" i="1"/>
  <c r="M94" i="1"/>
  <c r="N94" i="1" s="1"/>
  <c r="Q93" i="1"/>
  <c r="P93" i="1"/>
  <c r="O93" i="1"/>
  <c r="N93" i="1"/>
  <c r="M93" i="1"/>
  <c r="Q92" i="1"/>
  <c r="P92" i="1"/>
  <c r="O92" i="1"/>
  <c r="M92" i="1"/>
  <c r="N92" i="1" s="1"/>
  <c r="Q91" i="1"/>
  <c r="P91" i="1"/>
  <c r="O91" i="1"/>
  <c r="N91" i="1"/>
  <c r="M91" i="1"/>
  <c r="Q90" i="1"/>
  <c r="P90" i="1"/>
  <c r="O90" i="1"/>
  <c r="M90" i="1"/>
  <c r="N90" i="1" s="1"/>
  <c r="Q89" i="1"/>
  <c r="P89" i="1"/>
  <c r="O89" i="1"/>
  <c r="N89" i="1"/>
  <c r="M89" i="1"/>
  <c r="Q88" i="1"/>
  <c r="P88" i="1"/>
  <c r="O88" i="1"/>
  <c r="M88" i="1"/>
  <c r="N88" i="1" s="1"/>
  <c r="Q87" i="1"/>
  <c r="P87" i="1"/>
  <c r="O87" i="1"/>
  <c r="N87" i="1"/>
  <c r="M87" i="1"/>
  <c r="Q86" i="1"/>
  <c r="P86" i="1"/>
  <c r="O86" i="1"/>
  <c r="M86" i="1"/>
  <c r="N86" i="1" s="1"/>
  <c r="Q85" i="1"/>
  <c r="P85" i="1"/>
  <c r="O85" i="1"/>
  <c r="N85" i="1"/>
  <c r="M85" i="1"/>
  <c r="Q84" i="1"/>
  <c r="P84" i="1"/>
  <c r="O84" i="1"/>
  <c r="M84" i="1"/>
  <c r="N84" i="1" s="1"/>
  <c r="Q83" i="1"/>
  <c r="P83" i="1"/>
  <c r="O83" i="1"/>
  <c r="N83" i="1"/>
  <c r="M83" i="1"/>
  <c r="Q82" i="1"/>
  <c r="P82" i="1"/>
  <c r="O82" i="1"/>
  <c r="M82" i="1"/>
  <c r="N82" i="1" s="1"/>
  <c r="Q81" i="1"/>
  <c r="P81" i="1"/>
  <c r="O81" i="1"/>
  <c r="N81" i="1"/>
  <c r="M81" i="1"/>
  <c r="Q80" i="1"/>
  <c r="P80" i="1"/>
  <c r="O80" i="1"/>
  <c r="M80" i="1"/>
  <c r="N80" i="1" s="1"/>
  <c r="Q79" i="1"/>
  <c r="P79" i="1"/>
  <c r="O79" i="1"/>
  <c r="N79" i="1"/>
  <c r="M79" i="1"/>
  <c r="Q78" i="1"/>
  <c r="P78" i="1"/>
  <c r="O78" i="1"/>
  <c r="M78" i="1"/>
  <c r="N78" i="1" s="1"/>
  <c r="Q77" i="1"/>
  <c r="P77" i="1"/>
  <c r="O77" i="1"/>
  <c r="N77" i="1"/>
  <c r="M77" i="1"/>
  <c r="Q76" i="1"/>
  <c r="P76" i="1"/>
  <c r="O76" i="1"/>
  <c r="M76" i="1"/>
  <c r="N76" i="1" s="1"/>
  <c r="Q75" i="1"/>
  <c r="P75" i="1"/>
  <c r="O75" i="1"/>
  <c r="N75" i="1"/>
  <c r="M75" i="1"/>
  <c r="Q74" i="1"/>
  <c r="P74" i="1"/>
  <c r="O74" i="1"/>
  <c r="M74" i="1"/>
  <c r="N74" i="1" s="1"/>
  <c r="Q73" i="1"/>
  <c r="P73" i="1"/>
  <c r="O73" i="1"/>
  <c r="N73" i="1"/>
  <c r="M73" i="1"/>
  <c r="Q72" i="1"/>
  <c r="P72" i="1"/>
  <c r="O72" i="1"/>
  <c r="M72" i="1"/>
  <c r="N72" i="1" s="1"/>
  <c r="Q71" i="1"/>
  <c r="P71" i="1"/>
  <c r="O71" i="1"/>
  <c r="N71" i="1"/>
  <c r="M71" i="1"/>
  <c r="Q70" i="1"/>
  <c r="P70" i="1"/>
  <c r="O70" i="1"/>
  <c r="M70" i="1"/>
  <c r="N70" i="1" s="1"/>
  <c r="Q69" i="1"/>
  <c r="P69" i="1"/>
  <c r="O69" i="1"/>
  <c r="N69" i="1"/>
  <c r="M69" i="1"/>
  <c r="Q68" i="1"/>
  <c r="P68" i="1"/>
  <c r="O68" i="1"/>
  <c r="M68" i="1"/>
  <c r="N68" i="1" s="1"/>
  <c r="Q67" i="1"/>
  <c r="P67" i="1"/>
  <c r="O67" i="1"/>
  <c r="N67" i="1"/>
  <c r="M67" i="1"/>
  <c r="Q66" i="1"/>
  <c r="P66" i="1"/>
  <c r="O66" i="1"/>
  <c r="M66" i="1"/>
  <c r="N66" i="1" s="1"/>
  <c r="Q65" i="1"/>
  <c r="P65" i="1"/>
  <c r="O65" i="1"/>
  <c r="N65" i="1"/>
  <c r="M65" i="1"/>
  <c r="Q64" i="1"/>
  <c r="P64" i="1"/>
  <c r="O64" i="1"/>
  <c r="M64" i="1"/>
  <c r="N64" i="1" s="1"/>
  <c r="Q63" i="1"/>
  <c r="P63" i="1"/>
  <c r="O63" i="1"/>
  <c r="N63" i="1"/>
  <c r="M63" i="1"/>
  <c r="Q62" i="1"/>
  <c r="P62" i="1"/>
  <c r="O62" i="1"/>
  <c r="M62" i="1"/>
  <c r="N62" i="1" s="1"/>
  <c r="Q61" i="1"/>
  <c r="P61" i="1"/>
  <c r="O61" i="1"/>
  <c r="N61" i="1"/>
  <c r="M61" i="1"/>
  <c r="Q60" i="1"/>
  <c r="P60" i="1"/>
  <c r="O60" i="1"/>
  <c r="M60" i="1"/>
  <c r="N60" i="1" s="1"/>
  <c r="Q59" i="1"/>
  <c r="P59" i="1"/>
  <c r="O59" i="1"/>
  <c r="N59" i="1"/>
  <c r="M59" i="1"/>
  <c r="Q58" i="1"/>
  <c r="P58" i="1"/>
  <c r="O58" i="1"/>
  <c r="M58" i="1"/>
  <c r="N58" i="1" s="1"/>
  <c r="Q57" i="1"/>
  <c r="P57" i="1"/>
  <c r="O57" i="1"/>
  <c r="N57" i="1"/>
  <c r="M57" i="1"/>
  <c r="Q56" i="1"/>
  <c r="P56" i="1"/>
  <c r="O56" i="1"/>
  <c r="M56" i="1"/>
  <c r="N56" i="1" s="1"/>
  <c r="Q55" i="1"/>
  <c r="P55" i="1"/>
  <c r="O55" i="1"/>
  <c r="N55" i="1"/>
  <c r="M55" i="1"/>
  <c r="Q54" i="1"/>
  <c r="P54" i="1"/>
  <c r="O54" i="1"/>
  <c r="M54" i="1"/>
  <c r="N54" i="1" s="1"/>
  <c r="Q53" i="1"/>
  <c r="P53" i="1"/>
  <c r="O53" i="1"/>
  <c r="N53" i="1"/>
  <c r="M53" i="1"/>
  <c r="Q52" i="1"/>
  <c r="P52" i="1"/>
  <c r="O52" i="1"/>
  <c r="M52" i="1"/>
  <c r="N52" i="1" s="1"/>
  <c r="Q51" i="1"/>
  <c r="P51" i="1"/>
  <c r="O51" i="1"/>
  <c r="N51" i="1"/>
  <c r="M51" i="1"/>
  <c r="Q50" i="1"/>
  <c r="P50" i="1"/>
  <c r="O50" i="1"/>
  <c r="M50" i="1"/>
  <c r="N50" i="1" s="1"/>
  <c r="Q49" i="1"/>
  <c r="P49" i="1"/>
  <c r="O49" i="1"/>
  <c r="N49" i="1"/>
  <c r="M49" i="1"/>
  <c r="Q48" i="1"/>
  <c r="P48" i="1"/>
  <c r="O48" i="1"/>
  <c r="M48" i="1"/>
  <c r="N48" i="1" s="1"/>
  <c r="Q47" i="1"/>
  <c r="P47" i="1"/>
  <c r="O47" i="1"/>
  <c r="N47" i="1"/>
  <c r="M47" i="1"/>
  <c r="Q46" i="1"/>
  <c r="P46" i="1"/>
  <c r="O46" i="1"/>
  <c r="M46" i="1"/>
  <c r="N46" i="1" s="1"/>
  <c r="Q45" i="1"/>
  <c r="P45" i="1"/>
  <c r="O45" i="1"/>
  <c r="N45" i="1"/>
  <c r="M45" i="1"/>
  <c r="Q44" i="1"/>
  <c r="P44" i="1"/>
  <c r="O44" i="1"/>
  <c r="M44" i="1"/>
  <c r="N44" i="1" s="1"/>
  <c r="Q43" i="1"/>
  <c r="P43" i="1"/>
  <c r="O43" i="1"/>
  <c r="N43" i="1"/>
  <c r="M43" i="1"/>
  <c r="Q42" i="1"/>
  <c r="P42" i="1"/>
  <c r="O42" i="1"/>
  <c r="M42" i="1"/>
  <c r="N42" i="1" s="1"/>
  <c r="Q41" i="1"/>
  <c r="P41" i="1"/>
  <c r="O41" i="1"/>
  <c r="N41" i="1"/>
  <c r="M41" i="1"/>
  <c r="Q40" i="1"/>
  <c r="P40" i="1"/>
  <c r="O40" i="1"/>
  <c r="M40" i="1"/>
  <c r="N40" i="1" s="1"/>
  <c r="Q39" i="1"/>
  <c r="P39" i="1"/>
  <c r="O39" i="1"/>
  <c r="N39" i="1"/>
  <c r="M39" i="1"/>
  <c r="Q38" i="1"/>
  <c r="P38" i="1"/>
  <c r="O38" i="1"/>
  <c r="M38" i="1"/>
  <c r="N38" i="1" s="1"/>
  <c r="Q37" i="1"/>
  <c r="P37" i="1"/>
  <c r="O37" i="1"/>
  <c r="N37" i="1"/>
  <c r="M37" i="1"/>
  <c r="Q36" i="1"/>
  <c r="P36" i="1"/>
  <c r="O36" i="1"/>
  <c r="M36" i="1"/>
  <c r="N36" i="1" s="1"/>
  <c r="Q35" i="1"/>
  <c r="P35" i="1"/>
  <c r="O35" i="1"/>
  <c r="N35" i="1"/>
  <c r="M35" i="1"/>
  <c r="Q34" i="1"/>
  <c r="P34" i="1"/>
  <c r="O34" i="1"/>
  <c r="M34" i="1"/>
  <c r="N34" i="1" s="1"/>
  <c r="Q33" i="1"/>
  <c r="P33" i="1"/>
  <c r="O33" i="1"/>
  <c r="N33" i="1"/>
  <c r="M33" i="1"/>
  <c r="Q32" i="1"/>
  <c r="P32" i="1"/>
  <c r="O32" i="1"/>
  <c r="M32" i="1"/>
  <c r="N32" i="1" s="1"/>
  <c r="Q31" i="1"/>
  <c r="P31" i="1"/>
  <c r="O31" i="1"/>
  <c r="N31" i="1"/>
  <c r="M31" i="1"/>
  <c r="Q30" i="1"/>
  <c r="P30" i="1"/>
  <c r="O30" i="1"/>
  <c r="M30" i="1"/>
  <c r="N30" i="1" s="1"/>
  <c r="Q29" i="1"/>
  <c r="P29" i="1"/>
  <c r="O29" i="1"/>
  <c r="N29" i="1"/>
  <c r="M29" i="1"/>
  <c r="Q28" i="1"/>
  <c r="P28" i="1"/>
  <c r="O28" i="1"/>
  <c r="M28" i="1"/>
  <c r="N28" i="1" s="1"/>
  <c r="Q27" i="1"/>
  <c r="P27" i="1"/>
  <c r="O27" i="1"/>
  <c r="N27" i="1"/>
  <c r="M27" i="1"/>
  <c r="Q26" i="1"/>
  <c r="P26" i="1"/>
  <c r="O26" i="1"/>
  <c r="M26" i="1"/>
  <c r="N26" i="1" s="1"/>
  <c r="Q25" i="1"/>
  <c r="P25" i="1"/>
  <c r="O25" i="1"/>
  <c r="N25" i="1"/>
  <c r="M25" i="1"/>
  <c r="Q24" i="1"/>
  <c r="P24" i="1"/>
  <c r="O24" i="1"/>
  <c r="M24" i="1"/>
  <c r="N24" i="1" s="1"/>
  <c r="Q23" i="1"/>
  <c r="P23" i="1"/>
  <c r="O23" i="1"/>
  <c r="N23" i="1"/>
  <c r="M23" i="1"/>
  <c r="Q22" i="1"/>
  <c r="P22" i="1"/>
  <c r="O22" i="1"/>
  <c r="M22" i="1"/>
  <c r="N22" i="1" s="1"/>
  <c r="Q21" i="1"/>
  <c r="P21" i="1"/>
  <c r="O21" i="1"/>
  <c r="N21" i="1"/>
  <c r="M21" i="1"/>
  <c r="Q20" i="1"/>
  <c r="P20" i="1"/>
  <c r="O20" i="1"/>
  <c r="M20" i="1"/>
  <c r="N20" i="1" s="1"/>
  <c r="Q19" i="1"/>
  <c r="P19" i="1"/>
  <c r="O19" i="1"/>
  <c r="N19" i="1"/>
  <c r="M19" i="1"/>
  <c r="Q18" i="1"/>
  <c r="P18" i="1"/>
  <c r="O18" i="1"/>
  <c r="M18" i="1"/>
  <c r="N18" i="1" s="1"/>
  <c r="Q17" i="1"/>
  <c r="P17" i="1"/>
  <c r="O17" i="1"/>
  <c r="N17" i="1"/>
  <c r="M17" i="1"/>
  <c r="Q16" i="1"/>
  <c r="P16" i="1"/>
  <c r="O16" i="1"/>
  <c r="M16" i="1"/>
  <c r="N16" i="1" s="1"/>
  <c r="Q15" i="1"/>
  <c r="P15" i="1"/>
  <c r="O15" i="1"/>
  <c r="N15" i="1"/>
  <c r="M15" i="1"/>
  <c r="Q14" i="1"/>
  <c r="P14" i="1"/>
  <c r="O14" i="1"/>
  <c r="M14" i="1"/>
  <c r="N14" i="1" s="1"/>
  <c r="Q13" i="1"/>
  <c r="P13" i="1"/>
  <c r="O13" i="1"/>
  <c r="N13" i="1"/>
  <c r="M13" i="1"/>
  <c r="Q12" i="1"/>
  <c r="P12" i="1"/>
  <c r="O12" i="1"/>
  <c r="M12" i="1"/>
  <c r="N12" i="1" s="1"/>
  <c r="Q11" i="1"/>
  <c r="P11" i="1"/>
  <c r="O11" i="1"/>
  <c r="N11" i="1"/>
  <c r="M11" i="1"/>
  <c r="Q10" i="1"/>
  <c r="P10" i="1"/>
  <c r="O10" i="1"/>
  <c r="M10" i="1"/>
  <c r="N10" i="1" s="1"/>
  <c r="Q9" i="1"/>
  <c r="P9" i="1"/>
  <c r="O9" i="1"/>
  <c r="N9" i="1"/>
  <c r="M9" i="1"/>
  <c r="Q8" i="1"/>
  <c r="P8" i="1"/>
  <c r="O8" i="1"/>
  <c r="M8" i="1"/>
  <c r="N8" i="1" s="1"/>
  <c r="Q7" i="1"/>
  <c r="P7" i="1"/>
  <c r="O7" i="1"/>
  <c r="N7" i="1"/>
  <c r="M7" i="1"/>
  <c r="Q6" i="1"/>
  <c r="P6" i="1"/>
  <c r="O6" i="1"/>
  <c r="M6" i="1"/>
  <c r="N6" i="1" s="1"/>
  <c r="Q5" i="1"/>
  <c r="P5" i="1"/>
  <c r="O5" i="1"/>
  <c r="N5" i="1"/>
  <c r="M5" i="1"/>
  <c r="Q4" i="1"/>
  <c r="P4" i="1"/>
  <c r="O4" i="1"/>
  <c r="M4" i="1"/>
  <c r="N4" i="1" s="1"/>
</calcChain>
</file>

<file path=xl/sharedStrings.xml><?xml version="1.0" encoding="utf-8"?>
<sst xmlns="http://schemas.openxmlformats.org/spreadsheetml/2006/main" count="3517" uniqueCount="934">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</sst>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71B57-1902-4FA3-85FA-F6350AAD7753}" name="Table1" displayName="Table1" ref="A3:Q503" totalsRowShown="0">
  <autoFilter ref="A3:Q503" xr:uid="{5DE71B57-1902-4FA3-85FA-F6350AAD7753}"/>
  <tableColumns count="17">
    <tableColumn id="1" xr3:uid="{7FFCA0F7-DD2E-40AF-96F1-E42BC1B44965}" name="Order ID"/>
    <tableColumn id="2" xr3:uid="{028C3F4F-D7A7-4699-BC58-BD07FA5A4CBA}" name="Order Date" dataDxfId="5"/>
    <tableColumn id="3" xr3:uid="{9B4E62F8-405A-4D2B-83D5-56A663335869}" name="Year"/>
    <tableColumn id="4" xr3:uid="{B8C891EF-4197-4247-98D6-3E9DCC8876B1}" name="Customer ID"/>
    <tableColumn id="5" xr3:uid="{C676AC60-8C60-492A-815F-4E1D2E671F2B}" name="Customer Name"/>
    <tableColumn id="6" xr3:uid="{227EE7E9-1885-458D-BB58-5ADE9909F37A}" name="Product ID"/>
    <tableColumn id="7" xr3:uid="{4912DAD2-B572-4DAF-AF7A-A9A295D78187}" name="Product Name"/>
    <tableColumn id="8" xr3:uid="{A8699A7A-5FC6-4CEC-A7E1-7880EDB4FB73}" name="Item Category"/>
    <tableColumn id="9" xr3:uid="{DF6F3DCD-6DC2-4EF1-947A-C7CB2F0788B9}" name="Region"/>
    <tableColumn id="10" xr3:uid="{47437D14-0701-4FE3-A0AF-5161FC14582D}" name="Quantity Sold"/>
    <tableColumn id="11" xr3:uid="{C7892D9E-0702-4755-866E-21C1EC0168B1}" name="Unit Price"/>
    <tableColumn id="12" xr3:uid="{13FDE13E-7EB5-4411-9FDD-EB0B12B0C4AA}" name="Cost Amount"/>
    <tableColumn id="13" xr3:uid="{12D34983-BEDA-45D7-BB67-77A500A9EBF0}" name="Sales Amount" dataDxfId="4">
      <calculatedColumnFormula>Table1[[#This Row],[Quantity Sold]]*Table1[[#This Row],[Unit Price]]</calculatedColumnFormula>
    </tableColumn>
    <tableColumn id="14" xr3:uid="{740314E4-802B-433C-BF1A-D192A92295E3}" name="Profit" dataDxfId="3">
      <calculatedColumnFormula>Table1[[#This Row],[Sales Amount]]-Table1[[#This Row],[Cost Amount]]</calculatedColumnFormula>
    </tableColumn>
    <tableColumn id="15" xr3:uid="{ECE2D6F8-644F-409A-A968-67076F077FC5}" name="Quarter" dataDxfId="2">
      <calculatedColumnFormula>"Q"&amp;ROUNDUP(MONTH(Table1[[#This Row],[Order Date]])/3,0)</calculatedColumnFormula>
    </tableColumn>
    <tableColumn id="16" xr3:uid="{BA1BC17E-AB96-4F50-A95C-64D55ADAF970}" name="Month" dataDxfId="1">
      <calculatedColumnFormula>TEXT(Table1[[#This Row],[Order Date]],"MMM")</calculatedColumnFormula>
    </tableColumn>
    <tableColumn id="17" xr3:uid="{600DAA5E-82FC-40FB-9ADF-27E45DC19E1A}" name="Month No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4252-8319-4FAD-947A-A65B29EC137E}">
  <dimension ref="A3:Q503"/>
  <sheetViews>
    <sheetView tabSelected="1" workbookViewId="0">
      <selection sqref="A1:XFD1048576"/>
    </sheetView>
  </sheetViews>
  <sheetFormatPr defaultRowHeight="15" x14ac:dyDescent="0.25"/>
  <cols>
    <col min="1" max="1" width="10" bestFit="1" customWidth="1"/>
    <col min="2" max="2" width="16.7109375" bestFit="1" customWidth="1"/>
    <col min="3" max="3" width="6.85546875" bestFit="1" customWidth="1"/>
    <col min="4" max="4" width="13.28515625" bestFit="1" customWidth="1"/>
    <col min="5" max="5" width="16.7109375" bestFit="1" customWidth="1"/>
    <col min="6" max="6" width="11.7109375" bestFit="1" customWidth="1"/>
    <col min="7" max="7" width="14.85546875" bestFit="1" customWidth="1"/>
    <col min="8" max="8" width="14.7109375" bestFit="1" customWidth="1"/>
    <col min="9" max="9" width="8.7109375" bestFit="1" customWidth="1"/>
    <col min="10" max="10" width="14.28515625" bestFit="1" customWidth="1"/>
    <col min="11" max="11" width="11.28515625" bestFit="1" customWidth="1"/>
    <col min="12" max="12" width="13.7109375" bestFit="1" customWidth="1"/>
    <col min="13" max="13" width="14.42578125" bestFit="1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t="s">
        <v>17</v>
      </c>
      <c r="B4" s="2">
        <v>46211</v>
      </c>
      <c r="C4">
        <v>2026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9</v>
      </c>
      <c r="K4">
        <v>247.66</v>
      </c>
      <c r="L4">
        <v>1320.15</v>
      </c>
      <c r="M4">
        <f>Table1[[#This Row],[Quantity Sold]]*Table1[[#This Row],[Unit Price]]</f>
        <v>2228.94</v>
      </c>
      <c r="N4">
        <f>Table1[[#This Row],[Sales Amount]]-Table1[[#This Row],[Cost Amount]]</f>
        <v>908.79</v>
      </c>
      <c r="O4" t="str">
        <f>"Q"&amp;ROUNDUP(MONTH(Table1[[#This Row],[Order Date]])/3,0)</f>
        <v>Q3</v>
      </c>
      <c r="P4" t="str">
        <f>TEXT(Table1[[#This Row],[Order Date]],"MMM")</f>
        <v>Jul</v>
      </c>
      <c r="Q4">
        <f>MONTH(Table1[[#This Row],[Order Date]])</f>
        <v>7</v>
      </c>
    </row>
    <row r="5" spans="1:17" x14ac:dyDescent="0.25">
      <c r="A5" t="s">
        <v>24</v>
      </c>
      <c r="B5" s="2">
        <v>46025</v>
      </c>
      <c r="C5">
        <v>2026</v>
      </c>
      <c r="D5" t="s">
        <v>25</v>
      </c>
      <c r="E5" t="s">
        <v>26</v>
      </c>
      <c r="F5" t="s">
        <v>27</v>
      </c>
      <c r="G5" t="s">
        <v>28</v>
      </c>
      <c r="H5" t="s">
        <v>22</v>
      </c>
      <c r="I5" t="s">
        <v>29</v>
      </c>
      <c r="J5">
        <v>15</v>
      </c>
      <c r="K5">
        <v>474.38</v>
      </c>
      <c r="L5">
        <v>5478.96</v>
      </c>
      <c r="M5">
        <f>Table1[[#This Row],[Quantity Sold]]*Table1[[#This Row],[Unit Price]]</f>
        <v>7115.7</v>
      </c>
      <c r="N5">
        <f>Table1[[#This Row],[Sales Amount]]-Table1[[#This Row],[Cost Amount]]</f>
        <v>1636.7399999999998</v>
      </c>
      <c r="O5" t="str">
        <f>"Q"&amp;ROUNDUP(MONTH(Table1[[#This Row],[Order Date]])/3,0)</f>
        <v>Q1</v>
      </c>
      <c r="P5" t="str">
        <f>TEXT(Table1[[#This Row],[Order Date]],"MMM")</f>
        <v>Jan</v>
      </c>
      <c r="Q5">
        <f>MONTH(Table1[[#This Row],[Order Date]])</f>
        <v>1</v>
      </c>
    </row>
    <row r="6" spans="1:17" x14ac:dyDescent="0.25">
      <c r="A6" t="s">
        <v>30</v>
      </c>
      <c r="B6" s="2">
        <v>46231</v>
      </c>
      <c r="C6">
        <v>2026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23</v>
      </c>
      <c r="J6">
        <v>19</v>
      </c>
      <c r="K6">
        <v>483</v>
      </c>
      <c r="L6">
        <v>5850.31</v>
      </c>
      <c r="M6">
        <f>Table1[[#This Row],[Quantity Sold]]*Table1[[#This Row],[Unit Price]]</f>
        <v>9177</v>
      </c>
      <c r="N6">
        <f>Table1[[#This Row],[Sales Amount]]-Table1[[#This Row],[Cost Amount]]</f>
        <v>3326.6899999999996</v>
      </c>
      <c r="O6" t="str">
        <f>"Q"&amp;ROUNDUP(MONTH(Table1[[#This Row],[Order Date]])/3,0)</f>
        <v>Q3</v>
      </c>
      <c r="P6" t="str">
        <f>TEXT(Table1[[#This Row],[Order Date]],"MMM")</f>
        <v>Jul</v>
      </c>
      <c r="Q6">
        <f>MONTH(Table1[[#This Row],[Order Date]])</f>
        <v>7</v>
      </c>
    </row>
    <row r="7" spans="1:17" x14ac:dyDescent="0.25">
      <c r="A7" t="s">
        <v>36</v>
      </c>
      <c r="B7" s="2">
        <v>46133</v>
      </c>
      <c r="C7">
        <v>2026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>
        <v>17</v>
      </c>
      <c r="K7">
        <v>311.86</v>
      </c>
      <c r="L7">
        <v>3119.49</v>
      </c>
      <c r="M7">
        <f>Table1[[#This Row],[Quantity Sold]]*Table1[[#This Row],[Unit Price]]</f>
        <v>5301.62</v>
      </c>
      <c r="N7">
        <f>Table1[[#This Row],[Sales Amount]]-Table1[[#This Row],[Cost Amount]]</f>
        <v>2182.13</v>
      </c>
      <c r="O7" t="str">
        <f>"Q"&amp;ROUNDUP(MONTH(Table1[[#This Row],[Order Date]])/3,0)</f>
        <v>Q2</v>
      </c>
      <c r="P7" t="str">
        <f>TEXT(Table1[[#This Row],[Order Date]],"MMM")</f>
        <v>Apr</v>
      </c>
      <c r="Q7">
        <f>MONTH(Table1[[#This Row],[Order Date]])</f>
        <v>4</v>
      </c>
    </row>
    <row r="8" spans="1:17" x14ac:dyDescent="0.25">
      <c r="A8" t="s">
        <v>43</v>
      </c>
      <c r="B8" s="2">
        <v>46296</v>
      </c>
      <c r="C8">
        <v>2026</v>
      </c>
      <c r="D8" t="s">
        <v>44</v>
      </c>
      <c r="E8" t="s">
        <v>45</v>
      </c>
      <c r="F8" t="s">
        <v>20</v>
      </c>
      <c r="G8" t="s">
        <v>21</v>
      </c>
      <c r="H8" t="s">
        <v>22</v>
      </c>
      <c r="I8" t="s">
        <v>42</v>
      </c>
      <c r="J8">
        <v>15</v>
      </c>
      <c r="K8">
        <v>350.77</v>
      </c>
      <c r="L8">
        <v>3038.92</v>
      </c>
      <c r="M8">
        <f>Table1[[#This Row],[Quantity Sold]]*Table1[[#This Row],[Unit Price]]</f>
        <v>5261.5499999999993</v>
      </c>
      <c r="N8">
        <f>Table1[[#This Row],[Sales Amount]]-Table1[[#This Row],[Cost Amount]]</f>
        <v>2222.6299999999992</v>
      </c>
      <c r="O8" t="str">
        <f>"Q"&amp;ROUNDUP(MONTH(Table1[[#This Row],[Order Date]])/3,0)</f>
        <v>Q4</v>
      </c>
      <c r="P8" t="str">
        <f>TEXT(Table1[[#This Row],[Order Date]],"MMM")</f>
        <v>Oct</v>
      </c>
      <c r="Q8">
        <f>MONTH(Table1[[#This Row],[Order Date]])</f>
        <v>10</v>
      </c>
    </row>
    <row r="9" spans="1:17" x14ac:dyDescent="0.25">
      <c r="A9" t="s">
        <v>46</v>
      </c>
      <c r="B9" s="2">
        <v>46286</v>
      </c>
      <c r="C9">
        <v>2026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>
        <v>2</v>
      </c>
      <c r="K9">
        <v>310.92</v>
      </c>
      <c r="L9">
        <v>455.11</v>
      </c>
      <c r="M9">
        <f>Table1[[#This Row],[Quantity Sold]]*Table1[[#This Row],[Unit Price]]</f>
        <v>621.84</v>
      </c>
      <c r="N9">
        <f>Table1[[#This Row],[Sales Amount]]-Table1[[#This Row],[Cost Amount]]</f>
        <v>166.73000000000002</v>
      </c>
      <c r="O9" t="str">
        <f>"Q"&amp;ROUNDUP(MONTH(Table1[[#This Row],[Order Date]])/3,0)</f>
        <v>Q3</v>
      </c>
      <c r="P9" t="str">
        <f>TEXT(Table1[[#This Row],[Order Date]],"MMM")</f>
        <v>Sep</v>
      </c>
      <c r="Q9">
        <f>MONTH(Table1[[#This Row],[Order Date]])</f>
        <v>9</v>
      </c>
    </row>
    <row r="10" spans="1:17" x14ac:dyDescent="0.25">
      <c r="A10" t="s">
        <v>53</v>
      </c>
      <c r="B10" s="2">
        <v>46363</v>
      </c>
      <c r="C10">
        <v>2026</v>
      </c>
      <c r="D10" t="s">
        <v>54</v>
      </c>
      <c r="E10" t="s">
        <v>55</v>
      </c>
      <c r="F10" t="s">
        <v>56</v>
      </c>
      <c r="G10" t="s">
        <v>57</v>
      </c>
      <c r="H10" t="s">
        <v>51</v>
      </c>
      <c r="I10" t="s">
        <v>29</v>
      </c>
      <c r="J10">
        <v>13</v>
      </c>
      <c r="K10">
        <v>35.79</v>
      </c>
      <c r="L10">
        <v>321.38</v>
      </c>
      <c r="M10">
        <f>Table1[[#This Row],[Quantity Sold]]*Table1[[#This Row],[Unit Price]]</f>
        <v>465.27</v>
      </c>
      <c r="N10">
        <f>Table1[[#This Row],[Sales Amount]]-Table1[[#This Row],[Cost Amount]]</f>
        <v>143.88999999999999</v>
      </c>
      <c r="O10" t="str">
        <f>"Q"&amp;ROUNDUP(MONTH(Table1[[#This Row],[Order Date]])/3,0)</f>
        <v>Q4</v>
      </c>
      <c r="P10" t="str">
        <f>TEXT(Table1[[#This Row],[Order Date]],"MMM")</f>
        <v>Dec</v>
      </c>
      <c r="Q10">
        <f>MONTH(Table1[[#This Row],[Order Date]])</f>
        <v>12</v>
      </c>
    </row>
    <row r="11" spans="1:17" x14ac:dyDescent="0.25">
      <c r="A11" t="s">
        <v>58</v>
      </c>
      <c r="B11" s="2">
        <v>46027</v>
      </c>
      <c r="C11">
        <v>2026</v>
      </c>
      <c r="D11" t="s">
        <v>59</v>
      </c>
      <c r="E11" t="s">
        <v>60</v>
      </c>
      <c r="F11" t="s">
        <v>61</v>
      </c>
      <c r="G11" t="s">
        <v>62</v>
      </c>
      <c r="H11" t="s">
        <v>22</v>
      </c>
      <c r="I11" t="s">
        <v>52</v>
      </c>
      <c r="J11">
        <v>7</v>
      </c>
      <c r="K11">
        <v>378.96</v>
      </c>
      <c r="L11">
        <v>1807.54</v>
      </c>
      <c r="M11">
        <f>Table1[[#This Row],[Quantity Sold]]*Table1[[#This Row],[Unit Price]]</f>
        <v>2652.72</v>
      </c>
      <c r="N11">
        <f>Table1[[#This Row],[Sales Amount]]-Table1[[#This Row],[Cost Amount]]</f>
        <v>845.17999999999984</v>
      </c>
      <c r="O11" t="str">
        <f>"Q"&amp;ROUNDUP(MONTH(Table1[[#This Row],[Order Date]])/3,0)</f>
        <v>Q1</v>
      </c>
      <c r="P11" t="str">
        <f>TEXT(Table1[[#This Row],[Order Date]],"MMM")</f>
        <v>Jan</v>
      </c>
      <c r="Q11">
        <f>MONTH(Table1[[#This Row],[Order Date]])</f>
        <v>1</v>
      </c>
    </row>
    <row r="12" spans="1:17" x14ac:dyDescent="0.25">
      <c r="A12" t="s">
        <v>63</v>
      </c>
      <c r="B12" s="2">
        <v>46024</v>
      </c>
      <c r="C12">
        <v>2026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29</v>
      </c>
      <c r="J12">
        <v>2</v>
      </c>
      <c r="K12">
        <v>73.33</v>
      </c>
      <c r="L12">
        <v>119.22</v>
      </c>
      <c r="M12">
        <f>Table1[[#This Row],[Quantity Sold]]*Table1[[#This Row],[Unit Price]]</f>
        <v>146.66</v>
      </c>
      <c r="N12">
        <f>Table1[[#This Row],[Sales Amount]]-Table1[[#This Row],[Cost Amount]]</f>
        <v>27.439999999999998</v>
      </c>
      <c r="O12" t="str">
        <f>"Q"&amp;ROUNDUP(MONTH(Table1[[#This Row],[Order Date]])/3,0)</f>
        <v>Q1</v>
      </c>
      <c r="P12" t="str">
        <f>TEXT(Table1[[#This Row],[Order Date]],"MMM")</f>
        <v>Jan</v>
      </c>
      <c r="Q12">
        <f>MONTH(Table1[[#This Row],[Order Date]])</f>
        <v>1</v>
      </c>
    </row>
    <row r="13" spans="1:17" x14ac:dyDescent="0.25">
      <c r="A13" t="s">
        <v>69</v>
      </c>
      <c r="B13" s="2">
        <v>46063</v>
      </c>
      <c r="C13">
        <v>2026</v>
      </c>
      <c r="D13" t="s">
        <v>70</v>
      </c>
      <c r="E13" t="s">
        <v>71</v>
      </c>
      <c r="F13" t="s">
        <v>72</v>
      </c>
      <c r="G13" t="s">
        <v>73</v>
      </c>
      <c r="H13" t="s">
        <v>41</v>
      </c>
      <c r="I13" t="s">
        <v>52</v>
      </c>
      <c r="J13">
        <v>4</v>
      </c>
      <c r="K13">
        <v>358.32</v>
      </c>
      <c r="L13">
        <v>1035.5899999999999</v>
      </c>
      <c r="M13">
        <f>Table1[[#This Row],[Quantity Sold]]*Table1[[#This Row],[Unit Price]]</f>
        <v>1433.28</v>
      </c>
      <c r="N13">
        <f>Table1[[#This Row],[Sales Amount]]-Table1[[#This Row],[Cost Amount]]</f>
        <v>397.69000000000005</v>
      </c>
      <c r="O13" t="str">
        <f>"Q"&amp;ROUNDUP(MONTH(Table1[[#This Row],[Order Date]])/3,0)</f>
        <v>Q1</v>
      </c>
      <c r="P13" t="str">
        <f>TEXT(Table1[[#This Row],[Order Date]],"MMM")</f>
        <v>Feb</v>
      </c>
      <c r="Q13">
        <f>MONTH(Table1[[#This Row],[Order Date]])</f>
        <v>2</v>
      </c>
    </row>
    <row r="14" spans="1:17" x14ac:dyDescent="0.25">
      <c r="A14" t="s">
        <v>74</v>
      </c>
      <c r="B14" s="2">
        <v>46099</v>
      </c>
      <c r="C14">
        <v>2026</v>
      </c>
      <c r="D14" t="s">
        <v>75</v>
      </c>
      <c r="E14" t="s">
        <v>76</v>
      </c>
      <c r="F14" t="s">
        <v>33</v>
      </c>
      <c r="G14" t="s">
        <v>34</v>
      </c>
      <c r="H14" t="s">
        <v>35</v>
      </c>
      <c r="I14" t="s">
        <v>23</v>
      </c>
      <c r="J14">
        <v>16</v>
      </c>
      <c r="K14">
        <v>330.33</v>
      </c>
      <c r="L14">
        <v>3555.02</v>
      </c>
      <c r="M14">
        <f>Table1[[#This Row],[Quantity Sold]]*Table1[[#This Row],[Unit Price]]</f>
        <v>5285.28</v>
      </c>
      <c r="N14">
        <f>Table1[[#This Row],[Sales Amount]]-Table1[[#This Row],[Cost Amount]]</f>
        <v>1730.2599999999998</v>
      </c>
      <c r="O14" t="str">
        <f>"Q"&amp;ROUNDUP(MONTH(Table1[[#This Row],[Order Date]])/3,0)</f>
        <v>Q1</v>
      </c>
      <c r="P14" t="str">
        <f>TEXT(Table1[[#This Row],[Order Date]],"MMM")</f>
        <v>Mar</v>
      </c>
      <c r="Q14">
        <f>MONTH(Table1[[#This Row],[Order Date]])</f>
        <v>3</v>
      </c>
    </row>
    <row r="15" spans="1:17" x14ac:dyDescent="0.25">
      <c r="A15" t="s">
        <v>77</v>
      </c>
      <c r="B15" s="2">
        <v>46160</v>
      </c>
      <c r="C15">
        <v>2026</v>
      </c>
      <c r="D15" t="s">
        <v>75</v>
      </c>
      <c r="E15" t="s">
        <v>71</v>
      </c>
      <c r="F15" t="s">
        <v>78</v>
      </c>
      <c r="G15" t="s">
        <v>79</v>
      </c>
      <c r="H15" t="s">
        <v>22</v>
      </c>
      <c r="I15" t="s">
        <v>52</v>
      </c>
      <c r="J15">
        <v>19</v>
      </c>
      <c r="K15">
        <v>271.2</v>
      </c>
      <c r="L15">
        <v>3785.15</v>
      </c>
      <c r="M15">
        <f>Table1[[#This Row],[Quantity Sold]]*Table1[[#This Row],[Unit Price]]</f>
        <v>5152.8</v>
      </c>
      <c r="N15">
        <f>Table1[[#This Row],[Sales Amount]]-Table1[[#This Row],[Cost Amount]]</f>
        <v>1367.65</v>
      </c>
      <c r="O15" t="str">
        <f>"Q"&amp;ROUNDUP(MONTH(Table1[[#This Row],[Order Date]])/3,0)</f>
        <v>Q2</v>
      </c>
      <c r="P15" t="str">
        <f>TEXT(Table1[[#This Row],[Order Date]],"MMM")</f>
        <v>May</v>
      </c>
      <c r="Q15">
        <f>MONTH(Table1[[#This Row],[Order Date]])</f>
        <v>5</v>
      </c>
    </row>
    <row r="16" spans="1:17" x14ac:dyDescent="0.25">
      <c r="A16" t="s">
        <v>80</v>
      </c>
      <c r="B16" s="2">
        <v>46147</v>
      </c>
      <c r="C16">
        <v>2026</v>
      </c>
      <c r="D16" t="s">
        <v>81</v>
      </c>
      <c r="E16" t="s">
        <v>82</v>
      </c>
      <c r="F16" t="s">
        <v>83</v>
      </c>
      <c r="G16" t="s">
        <v>84</v>
      </c>
      <c r="H16" t="s">
        <v>35</v>
      </c>
      <c r="I16" t="s">
        <v>23</v>
      </c>
      <c r="J16">
        <v>11</v>
      </c>
      <c r="K16">
        <v>267.58</v>
      </c>
      <c r="L16">
        <v>1629.15</v>
      </c>
      <c r="M16">
        <f>Table1[[#This Row],[Quantity Sold]]*Table1[[#This Row],[Unit Price]]</f>
        <v>2943.3799999999997</v>
      </c>
      <c r="N16">
        <f>Table1[[#This Row],[Sales Amount]]-Table1[[#This Row],[Cost Amount]]</f>
        <v>1314.2299999999996</v>
      </c>
      <c r="O16" t="str">
        <f>"Q"&amp;ROUNDUP(MONTH(Table1[[#This Row],[Order Date]])/3,0)</f>
        <v>Q2</v>
      </c>
      <c r="P16" t="str">
        <f>TEXT(Table1[[#This Row],[Order Date]],"MMM")</f>
        <v>May</v>
      </c>
      <c r="Q16">
        <f>MONTH(Table1[[#This Row],[Order Date]])</f>
        <v>5</v>
      </c>
    </row>
    <row r="17" spans="1:17" x14ac:dyDescent="0.25">
      <c r="A17" t="s">
        <v>85</v>
      </c>
      <c r="B17" s="2">
        <v>46255</v>
      </c>
      <c r="C17">
        <v>2026</v>
      </c>
      <c r="D17" t="s">
        <v>86</v>
      </c>
      <c r="E17" t="s">
        <v>87</v>
      </c>
      <c r="F17" t="s">
        <v>49</v>
      </c>
      <c r="G17" t="s">
        <v>50</v>
      </c>
      <c r="H17" t="s">
        <v>51</v>
      </c>
      <c r="I17" t="s">
        <v>52</v>
      </c>
      <c r="J17">
        <v>11</v>
      </c>
      <c r="K17">
        <v>63.79</v>
      </c>
      <c r="L17">
        <v>545.28</v>
      </c>
      <c r="M17">
        <f>Table1[[#This Row],[Quantity Sold]]*Table1[[#This Row],[Unit Price]]</f>
        <v>701.68999999999994</v>
      </c>
      <c r="N17">
        <f>Table1[[#This Row],[Sales Amount]]-Table1[[#This Row],[Cost Amount]]</f>
        <v>156.40999999999997</v>
      </c>
      <c r="O17" t="str">
        <f>"Q"&amp;ROUNDUP(MONTH(Table1[[#This Row],[Order Date]])/3,0)</f>
        <v>Q3</v>
      </c>
      <c r="P17" t="str">
        <f>TEXT(Table1[[#This Row],[Order Date]],"MMM")</f>
        <v>Aug</v>
      </c>
      <c r="Q17">
        <f>MONTH(Table1[[#This Row],[Order Date]])</f>
        <v>8</v>
      </c>
    </row>
    <row r="18" spans="1:17" x14ac:dyDescent="0.25">
      <c r="A18" t="s">
        <v>88</v>
      </c>
      <c r="B18" s="2">
        <v>46222</v>
      </c>
      <c r="C18">
        <v>2026</v>
      </c>
      <c r="D18" t="s">
        <v>89</v>
      </c>
      <c r="E18" t="s">
        <v>90</v>
      </c>
      <c r="F18" t="s">
        <v>91</v>
      </c>
      <c r="G18" t="s">
        <v>92</v>
      </c>
      <c r="H18" t="s">
        <v>68</v>
      </c>
      <c r="I18" t="s">
        <v>23</v>
      </c>
      <c r="J18">
        <v>13</v>
      </c>
      <c r="K18">
        <v>493.23</v>
      </c>
      <c r="L18">
        <v>4677.54</v>
      </c>
      <c r="M18">
        <f>Table1[[#This Row],[Quantity Sold]]*Table1[[#This Row],[Unit Price]]</f>
        <v>6411.99</v>
      </c>
      <c r="N18">
        <f>Table1[[#This Row],[Sales Amount]]-Table1[[#This Row],[Cost Amount]]</f>
        <v>1734.4499999999998</v>
      </c>
      <c r="O18" t="str">
        <f>"Q"&amp;ROUNDUP(MONTH(Table1[[#This Row],[Order Date]])/3,0)</f>
        <v>Q3</v>
      </c>
      <c r="P18" t="str">
        <f>TEXT(Table1[[#This Row],[Order Date]],"MMM")</f>
        <v>Jul</v>
      </c>
      <c r="Q18">
        <f>MONTH(Table1[[#This Row],[Order Date]])</f>
        <v>7</v>
      </c>
    </row>
    <row r="19" spans="1:17" x14ac:dyDescent="0.25">
      <c r="A19" t="s">
        <v>93</v>
      </c>
      <c r="B19" s="2">
        <v>46276</v>
      </c>
      <c r="C19">
        <v>2026</v>
      </c>
      <c r="D19" t="s">
        <v>64</v>
      </c>
      <c r="E19" t="s">
        <v>94</v>
      </c>
      <c r="F19" t="s">
        <v>95</v>
      </c>
      <c r="G19" t="s">
        <v>96</v>
      </c>
      <c r="H19" t="s">
        <v>97</v>
      </c>
      <c r="I19" t="s">
        <v>23</v>
      </c>
      <c r="J19">
        <v>12</v>
      </c>
      <c r="K19">
        <v>356.59</v>
      </c>
      <c r="L19">
        <v>2680.36</v>
      </c>
      <c r="M19">
        <f>Table1[[#This Row],[Quantity Sold]]*Table1[[#This Row],[Unit Price]]</f>
        <v>4279.08</v>
      </c>
      <c r="N19">
        <f>Table1[[#This Row],[Sales Amount]]-Table1[[#This Row],[Cost Amount]]</f>
        <v>1598.7199999999998</v>
      </c>
      <c r="O19" t="str">
        <f>"Q"&amp;ROUNDUP(MONTH(Table1[[#This Row],[Order Date]])/3,0)</f>
        <v>Q3</v>
      </c>
      <c r="P19" t="str">
        <f>TEXT(Table1[[#This Row],[Order Date]],"MMM")</f>
        <v>Sep</v>
      </c>
      <c r="Q19">
        <f>MONTH(Table1[[#This Row],[Order Date]])</f>
        <v>9</v>
      </c>
    </row>
    <row r="20" spans="1:17" x14ac:dyDescent="0.25">
      <c r="A20" t="s">
        <v>98</v>
      </c>
      <c r="B20" s="2">
        <v>46085</v>
      </c>
      <c r="C20">
        <v>2026</v>
      </c>
      <c r="D20" t="s">
        <v>99</v>
      </c>
      <c r="E20" t="s">
        <v>100</v>
      </c>
      <c r="F20" t="s">
        <v>101</v>
      </c>
      <c r="G20" t="s">
        <v>102</v>
      </c>
      <c r="H20" t="s">
        <v>22</v>
      </c>
      <c r="I20" t="s">
        <v>52</v>
      </c>
      <c r="J20">
        <v>17</v>
      </c>
      <c r="K20">
        <v>206.03</v>
      </c>
      <c r="L20">
        <v>2472.84</v>
      </c>
      <c r="M20">
        <f>Table1[[#This Row],[Quantity Sold]]*Table1[[#This Row],[Unit Price]]</f>
        <v>3502.51</v>
      </c>
      <c r="N20">
        <f>Table1[[#This Row],[Sales Amount]]-Table1[[#This Row],[Cost Amount]]</f>
        <v>1029.67</v>
      </c>
      <c r="O20" t="str">
        <f>"Q"&amp;ROUNDUP(MONTH(Table1[[#This Row],[Order Date]])/3,0)</f>
        <v>Q1</v>
      </c>
      <c r="P20" t="str">
        <f>TEXT(Table1[[#This Row],[Order Date]],"MMM")</f>
        <v>Mar</v>
      </c>
      <c r="Q20">
        <f>MONTH(Table1[[#This Row],[Order Date]])</f>
        <v>3</v>
      </c>
    </row>
    <row r="21" spans="1:17" x14ac:dyDescent="0.25">
      <c r="A21" t="s">
        <v>103</v>
      </c>
      <c r="B21" s="2">
        <v>46025</v>
      </c>
      <c r="C21">
        <v>2026</v>
      </c>
      <c r="D21" t="s">
        <v>104</v>
      </c>
      <c r="E21" t="s">
        <v>105</v>
      </c>
      <c r="F21" t="s">
        <v>106</v>
      </c>
      <c r="G21" t="s">
        <v>107</v>
      </c>
      <c r="H21" t="s">
        <v>35</v>
      </c>
      <c r="I21" t="s">
        <v>29</v>
      </c>
      <c r="J21">
        <v>8</v>
      </c>
      <c r="K21">
        <v>474.76</v>
      </c>
      <c r="L21">
        <v>2502.94</v>
      </c>
      <c r="M21">
        <f>Table1[[#This Row],[Quantity Sold]]*Table1[[#This Row],[Unit Price]]</f>
        <v>3798.08</v>
      </c>
      <c r="N21">
        <f>Table1[[#This Row],[Sales Amount]]-Table1[[#This Row],[Cost Amount]]</f>
        <v>1295.1399999999999</v>
      </c>
      <c r="O21" t="str">
        <f>"Q"&amp;ROUNDUP(MONTH(Table1[[#This Row],[Order Date]])/3,0)</f>
        <v>Q1</v>
      </c>
      <c r="P21" t="str">
        <f>TEXT(Table1[[#This Row],[Order Date]],"MMM")</f>
        <v>Jan</v>
      </c>
      <c r="Q21">
        <f>MONTH(Table1[[#This Row],[Order Date]])</f>
        <v>1</v>
      </c>
    </row>
    <row r="22" spans="1:17" x14ac:dyDescent="0.25">
      <c r="A22" t="s">
        <v>108</v>
      </c>
      <c r="B22" s="2">
        <v>46084</v>
      </c>
      <c r="C22">
        <v>2026</v>
      </c>
      <c r="D22" t="s">
        <v>109</v>
      </c>
      <c r="E22" t="s">
        <v>110</v>
      </c>
      <c r="F22" t="s">
        <v>106</v>
      </c>
      <c r="G22" t="s">
        <v>107</v>
      </c>
      <c r="H22" t="s">
        <v>35</v>
      </c>
      <c r="I22" t="s">
        <v>42</v>
      </c>
      <c r="J22">
        <v>11</v>
      </c>
      <c r="K22">
        <v>306.95</v>
      </c>
      <c r="L22">
        <v>2861.4</v>
      </c>
      <c r="M22">
        <f>Table1[[#This Row],[Quantity Sold]]*Table1[[#This Row],[Unit Price]]</f>
        <v>3376.45</v>
      </c>
      <c r="N22">
        <f>Table1[[#This Row],[Sales Amount]]-Table1[[#This Row],[Cost Amount]]</f>
        <v>515.04999999999973</v>
      </c>
      <c r="O22" t="str">
        <f>"Q"&amp;ROUNDUP(MONTH(Table1[[#This Row],[Order Date]])/3,0)</f>
        <v>Q1</v>
      </c>
      <c r="P22" t="str">
        <f>TEXT(Table1[[#This Row],[Order Date]],"MMM")</f>
        <v>Mar</v>
      </c>
      <c r="Q22">
        <f>MONTH(Table1[[#This Row],[Order Date]])</f>
        <v>3</v>
      </c>
    </row>
    <row r="23" spans="1:17" x14ac:dyDescent="0.25">
      <c r="A23" t="s">
        <v>111</v>
      </c>
      <c r="B23" s="2">
        <v>46240</v>
      </c>
      <c r="C23">
        <v>2026</v>
      </c>
      <c r="D23" t="s">
        <v>112</v>
      </c>
      <c r="E23" t="s">
        <v>113</v>
      </c>
      <c r="F23" t="s">
        <v>66</v>
      </c>
      <c r="G23" t="s">
        <v>67</v>
      </c>
      <c r="H23" t="s">
        <v>68</v>
      </c>
      <c r="I23" t="s">
        <v>23</v>
      </c>
      <c r="J23">
        <v>3</v>
      </c>
      <c r="K23">
        <v>221.06</v>
      </c>
      <c r="L23">
        <v>485.14</v>
      </c>
      <c r="M23">
        <f>Table1[[#This Row],[Quantity Sold]]*Table1[[#This Row],[Unit Price]]</f>
        <v>663.18000000000006</v>
      </c>
      <c r="N23">
        <f>Table1[[#This Row],[Sales Amount]]-Table1[[#This Row],[Cost Amount]]</f>
        <v>178.04000000000008</v>
      </c>
      <c r="O23" t="str">
        <f>"Q"&amp;ROUNDUP(MONTH(Table1[[#This Row],[Order Date]])/3,0)</f>
        <v>Q3</v>
      </c>
      <c r="P23" t="str">
        <f>TEXT(Table1[[#This Row],[Order Date]],"MMM")</f>
        <v>Aug</v>
      </c>
      <c r="Q23">
        <f>MONTH(Table1[[#This Row],[Order Date]])</f>
        <v>8</v>
      </c>
    </row>
    <row r="24" spans="1:17" x14ac:dyDescent="0.25">
      <c r="A24" t="s">
        <v>114</v>
      </c>
      <c r="B24" s="2">
        <v>46248</v>
      </c>
      <c r="C24">
        <v>2026</v>
      </c>
      <c r="D24" t="s">
        <v>115</v>
      </c>
      <c r="E24" t="s">
        <v>116</v>
      </c>
      <c r="F24" t="s">
        <v>95</v>
      </c>
      <c r="G24" t="s">
        <v>96</v>
      </c>
      <c r="H24" t="s">
        <v>97</v>
      </c>
      <c r="I24" t="s">
        <v>29</v>
      </c>
      <c r="J24">
        <v>14</v>
      </c>
      <c r="K24">
        <v>325.60000000000002</v>
      </c>
      <c r="L24">
        <v>2851.81</v>
      </c>
      <c r="M24">
        <f>Table1[[#This Row],[Quantity Sold]]*Table1[[#This Row],[Unit Price]]</f>
        <v>4558.4000000000005</v>
      </c>
      <c r="N24">
        <f>Table1[[#This Row],[Sales Amount]]-Table1[[#This Row],[Cost Amount]]</f>
        <v>1706.5900000000006</v>
      </c>
      <c r="O24" t="str">
        <f>"Q"&amp;ROUNDUP(MONTH(Table1[[#This Row],[Order Date]])/3,0)</f>
        <v>Q3</v>
      </c>
      <c r="P24" t="str">
        <f>TEXT(Table1[[#This Row],[Order Date]],"MMM")</f>
        <v>Aug</v>
      </c>
      <c r="Q24">
        <f>MONTH(Table1[[#This Row],[Order Date]])</f>
        <v>8</v>
      </c>
    </row>
    <row r="25" spans="1:17" x14ac:dyDescent="0.25">
      <c r="A25" t="s">
        <v>117</v>
      </c>
      <c r="B25" s="2">
        <v>46330</v>
      </c>
      <c r="C25">
        <v>2026</v>
      </c>
      <c r="D25" t="s">
        <v>118</v>
      </c>
      <c r="E25" t="s">
        <v>119</v>
      </c>
      <c r="F25" t="s">
        <v>83</v>
      </c>
      <c r="G25" t="s">
        <v>84</v>
      </c>
      <c r="H25" t="s">
        <v>35</v>
      </c>
      <c r="I25" t="s">
        <v>29</v>
      </c>
      <c r="J25">
        <v>17</v>
      </c>
      <c r="K25">
        <v>440.76</v>
      </c>
      <c r="L25">
        <v>5061.97</v>
      </c>
      <c r="M25">
        <f>Table1[[#This Row],[Quantity Sold]]*Table1[[#This Row],[Unit Price]]</f>
        <v>7492.92</v>
      </c>
      <c r="N25">
        <f>Table1[[#This Row],[Sales Amount]]-Table1[[#This Row],[Cost Amount]]</f>
        <v>2430.9499999999998</v>
      </c>
      <c r="O25" t="str">
        <f>"Q"&amp;ROUNDUP(MONTH(Table1[[#This Row],[Order Date]])/3,0)</f>
        <v>Q4</v>
      </c>
      <c r="P25" t="str">
        <f>TEXT(Table1[[#This Row],[Order Date]],"MMM")</f>
        <v>Nov</v>
      </c>
      <c r="Q25">
        <f>MONTH(Table1[[#This Row],[Order Date]])</f>
        <v>11</v>
      </c>
    </row>
    <row r="26" spans="1:17" x14ac:dyDescent="0.25">
      <c r="A26" t="s">
        <v>120</v>
      </c>
      <c r="B26" s="2">
        <v>46332</v>
      </c>
      <c r="C26">
        <v>2026</v>
      </c>
      <c r="D26" t="s">
        <v>121</v>
      </c>
      <c r="E26" t="s">
        <v>122</v>
      </c>
      <c r="F26" t="s">
        <v>123</v>
      </c>
      <c r="G26" t="s">
        <v>124</v>
      </c>
      <c r="H26" t="s">
        <v>41</v>
      </c>
      <c r="I26" t="s">
        <v>42</v>
      </c>
      <c r="J26">
        <v>15</v>
      </c>
      <c r="K26">
        <v>175.8</v>
      </c>
      <c r="L26">
        <v>1763.84</v>
      </c>
      <c r="M26">
        <f>Table1[[#This Row],[Quantity Sold]]*Table1[[#This Row],[Unit Price]]</f>
        <v>2637</v>
      </c>
      <c r="N26">
        <f>Table1[[#This Row],[Sales Amount]]-Table1[[#This Row],[Cost Amount]]</f>
        <v>873.16000000000008</v>
      </c>
      <c r="O26" t="str">
        <f>"Q"&amp;ROUNDUP(MONTH(Table1[[#This Row],[Order Date]])/3,0)</f>
        <v>Q4</v>
      </c>
      <c r="P26" t="str">
        <f>TEXT(Table1[[#This Row],[Order Date]],"MMM")</f>
        <v>Nov</v>
      </c>
      <c r="Q26">
        <f>MONTH(Table1[[#This Row],[Order Date]])</f>
        <v>11</v>
      </c>
    </row>
    <row r="27" spans="1:17" x14ac:dyDescent="0.25">
      <c r="A27" t="s">
        <v>125</v>
      </c>
      <c r="B27" s="2">
        <v>46245</v>
      </c>
      <c r="C27">
        <v>2026</v>
      </c>
      <c r="D27" t="s">
        <v>81</v>
      </c>
      <c r="E27" t="s">
        <v>126</v>
      </c>
      <c r="F27" t="s">
        <v>91</v>
      </c>
      <c r="G27" t="s">
        <v>92</v>
      </c>
      <c r="H27" t="s">
        <v>68</v>
      </c>
      <c r="I27" t="s">
        <v>29</v>
      </c>
      <c r="J27">
        <v>19</v>
      </c>
      <c r="K27">
        <v>235.83</v>
      </c>
      <c r="L27">
        <v>2978.8</v>
      </c>
      <c r="M27">
        <f>Table1[[#This Row],[Quantity Sold]]*Table1[[#This Row],[Unit Price]]</f>
        <v>4480.7700000000004</v>
      </c>
      <c r="N27">
        <f>Table1[[#This Row],[Sales Amount]]-Table1[[#This Row],[Cost Amount]]</f>
        <v>1501.9700000000003</v>
      </c>
      <c r="O27" t="str">
        <f>"Q"&amp;ROUNDUP(MONTH(Table1[[#This Row],[Order Date]])/3,0)</f>
        <v>Q3</v>
      </c>
      <c r="P27" t="str">
        <f>TEXT(Table1[[#This Row],[Order Date]],"MMM")</f>
        <v>Aug</v>
      </c>
      <c r="Q27">
        <f>MONTH(Table1[[#This Row],[Order Date]])</f>
        <v>8</v>
      </c>
    </row>
    <row r="28" spans="1:17" x14ac:dyDescent="0.25">
      <c r="A28" t="s">
        <v>127</v>
      </c>
      <c r="B28" s="2">
        <v>46115</v>
      </c>
      <c r="C28">
        <v>2026</v>
      </c>
      <c r="D28" t="s">
        <v>18</v>
      </c>
      <c r="E28" t="s">
        <v>128</v>
      </c>
      <c r="F28" t="s">
        <v>129</v>
      </c>
      <c r="G28" t="s">
        <v>130</v>
      </c>
      <c r="H28" t="s">
        <v>35</v>
      </c>
      <c r="I28" t="s">
        <v>52</v>
      </c>
      <c r="J28">
        <v>20</v>
      </c>
      <c r="K28">
        <v>360.44</v>
      </c>
      <c r="L28">
        <v>4828.17</v>
      </c>
      <c r="M28">
        <f>Table1[[#This Row],[Quantity Sold]]*Table1[[#This Row],[Unit Price]]</f>
        <v>7208.8</v>
      </c>
      <c r="N28">
        <f>Table1[[#This Row],[Sales Amount]]-Table1[[#This Row],[Cost Amount]]</f>
        <v>2380.63</v>
      </c>
      <c r="O28" t="str">
        <f>"Q"&amp;ROUNDUP(MONTH(Table1[[#This Row],[Order Date]])/3,0)</f>
        <v>Q2</v>
      </c>
      <c r="P28" t="str">
        <f>TEXT(Table1[[#This Row],[Order Date]],"MMM")</f>
        <v>Apr</v>
      </c>
      <c r="Q28">
        <f>MONTH(Table1[[#This Row],[Order Date]])</f>
        <v>4</v>
      </c>
    </row>
    <row r="29" spans="1:17" x14ac:dyDescent="0.25">
      <c r="A29" t="s">
        <v>131</v>
      </c>
      <c r="B29" s="2">
        <v>46233</v>
      </c>
      <c r="C29">
        <v>2026</v>
      </c>
      <c r="D29" t="s">
        <v>132</v>
      </c>
      <c r="E29" t="s">
        <v>133</v>
      </c>
      <c r="F29" t="s">
        <v>134</v>
      </c>
      <c r="G29" t="s">
        <v>135</v>
      </c>
      <c r="H29" t="s">
        <v>22</v>
      </c>
      <c r="I29" t="s">
        <v>42</v>
      </c>
      <c r="J29">
        <v>20</v>
      </c>
      <c r="K29">
        <v>69.069999999999993</v>
      </c>
      <c r="L29">
        <v>989.77</v>
      </c>
      <c r="M29">
        <f>Table1[[#This Row],[Quantity Sold]]*Table1[[#This Row],[Unit Price]]</f>
        <v>1381.3999999999999</v>
      </c>
      <c r="N29">
        <f>Table1[[#This Row],[Sales Amount]]-Table1[[#This Row],[Cost Amount]]</f>
        <v>391.62999999999988</v>
      </c>
      <c r="O29" t="str">
        <f>"Q"&amp;ROUNDUP(MONTH(Table1[[#This Row],[Order Date]])/3,0)</f>
        <v>Q3</v>
      </c>
      <c r="P29" t="str">
        <f>TEXT(Table1[[#This Row],[Order Date]],"MMM")</f>
        <v>Jul</v>
      </c>
      <c r="Q29">
        <f>MONTH(Table1[[#This Row],[Order Date]])</f>
        <v>7</v>
      </c>
    </row>
    <row r="30" spans="1:17" x14ac:dyDescent="0.25">
      <c r="A30" t="s">
        <v>136</v>
      </c>
      <c r="B30" s="2">
        <v>46360</v>
      </c>
      <c r="C30">
        <v>2026</v>
      </c>
      <c r="D30" t="s">
        <v>137</v>
      </c>
      <c r="E30" t="s">
        <v>138</v>
      </c>
      <c r="F30" t="s">
        <v>139</v>
      </c>
      <c r="G30" t="s">
        <v>140</v>
      </c>
      <c r="H30" t="s">
        <v>22</v>
      </c>
      <c r="I30" t="s">
        <v>42</v>
      </c>
      <c r="J30">
        <v>15</v>
      </c>
      <c r="K30">
        <v>308.27999999999997</v>
      </c>
      <c r="L30">
        <v>3246.51</v>
      </c>
      <c r="M30">
        <f>Table1[[#This Row],[Quantity Sold]]*Table1[[#This Row],[Unit Price]]</f>
        <v>4624.2</v>
      </c>
      <c r="N30">
        <f>Table1[[#This Row],[Sales Amount]]-Table1[[#This Row],[Cost Amount]]</f>
        <v>1377.6899999999996</v>
      </c>
      <c r="O30" t="str">
        <f>"Q"&amp;ROUNDUP(MONTH(Table1[[#This Row],[Order Date]])/3,0)</f>
        <v>Q4</v>
      </c>
      <c r="P30" t="str">
        <f>TEXT(Table1[[#This Row],[Order Date]],"MMM")</f>
        <v>Dec</v>
      </c>
      <c r="Q30">
        <f>MONTH(Table1[[#This Row],[Order Date]])</f>
        <v>12</v>
      </c>
    </row>
    <row r="31" spans="1:17" x14ac:dyDescent="0.25">
      <c r="A31" t="s">
        <v>141</v>
      </c>
      <c r="B31" s="2">
        <v>46107</v>
      </c>
      <c r="C31">
        <v>2026</v>
      </c>
      <c r="D31" t="s">
        <v>142</v>
      </c>
      <c r="E31" t="s">
        <v>143</v>
      </c>
      <c r="F31" t="s">
        <v>144</v>
      </c>
      <c r="G31" t="s">
        <v>145</v>
      </c>
      <c r="H31" t="s">
        <v>97</v>
      </c>
      <c r="I31" t="s">
        <v>23</v>
      </c>
      <c r="J31">
        <v>6</v>
      </c>
      <c r="K31">
        <v>429.23</v>
      </c>
      <c r="L31">
        <v>1427.01</v>
      </c>
      <c r="M31">
        <f>Table1[[#This Row],[Quantity Sold]]*Table1[[#This Row],[Unit Price]]</f>
        <v>2575.38</v>
      </c>
      <c r="N31">
        <f>Table1[[#This Row],[Sales Amount]]-Table1[[#This Row],[Cost Amount]]</f>
        <v>1148.3700000000001</v>
      </c>
      <c r="O31" t="str">
        <f>"Q"&amp;ROUNDUP(MONTH(Table1[[#This Row],[Order Date]])/3,0)</f>
        <v>Q1</v>
      </c>
      <c r="P31" t="str">
        <f>TEXT(Table1[[#This Row],[Order Date]],"MMM")</f>
        <v>Mar</v>
      </c>
      <c r="Q31">
        <f>MONTH(Table1[[#This Row],[Order Date]])</f>
        <v>3</v>
      </c>
    </row>
    <row r="32" spans="1:17" x14ac:dyDescent="0.25">
      <c r="A32" t="s">
        <v>146</v>
      </c>
      <c r="B32" s="2">
        <v>46258</v>
      </c>
      <c r="C32">
        <v>2026</v>
      </c>
      <c r="D32" t="s">
        <v>147</v>
      </c>
      <c r="E32" t="s">
        <v>148</v>
      </c>
      <c r="F32" t="s">
        <v>149</v>
      </c>
      <c r="G32" t="s">
        <v>150</v>
      </c>
      <c r="H32" t="s">
        <v>22</v>
      </c>
      <c r="I32" t="s">
        <v>29</v>
      </c>
      <c r="J32">
        <v>11</v>
      </c>
      <c r="K32">
        <v>43.42</v>
      </c>
      <c r="L32">
        <v>385.22</v>
      </c>
      <c r="M32">
        <f>Table1[[#This Row],[Quantity Sold]]*Table1[[#This Row],[Unit Price]]</f>
        <v>477.62</v>
      </c>
      <c r="N32">
        <f>Table1[[#This Row],[Sales Amount]]-Table1[[#This Row],[Cost Amount]]</f>
        <v>92.399999999999977</v>
      </c>
      <c r="O32" t="str">
        <f>"Q"&amp;ROUNDUP(MONTH(Table1[[#This Row],[Order Date]])/3,0)</f>
        <v>Q3</v>
      </c>
      <c r="P32" t="str">
        <f>TEXT(Table1[[#This Row],[Order Date]],"MMM")</f>
        <v>Aug</v>
      </c>
      <c r="Q32">
        <f>MONTH(Table1[[#This Row],[Order Date]])</f>
        <v>8</v>
      </c>
    </row>
    <row r="33" spans="1:17" x14ac:dyDescent="0.25">
      <c r="A33" t="s">
        <v>151</v>
      </c>
      <c r="B33" s="2">
        <v>46197</v>
      </c>
      <c r="C33">
        <v>2026</v>
      </c>
      <c r="D33" t="s">
        <v>152</v>
      </c>
      <c r="E33" t="s">
        <v>153</v>
      </c>
      <c r="F33" t="s">
        <v>154</v>
      </c>
      <c r="G33" t="s">
        <v>155</v>
      </c>
      <c r="H33" t="s">
        <v>68</v>
      </c>
      <c r="I33" t="s">
        <v>23</v>
      </c>
      <c r="J33">
        <v>19</v>
      </c>
      <c r="K33">
        <v>402.77</v>
      </c>
      <c r="L33">
        <v>4275.3100000000004</v>
      </c>
      <c r="M33">
        <f>Table1[[#This Row],[Quantity Sold]]*Table1[[#This Row],[Unit Price]]</f>
        <v>7652.6299999999992</v>
      </c>
      <c r="N33">
        <f>Table1[[#This Row],[Sales Amount]]-Table1[[#This Row],[Cost Amount]]</f>
        <v>3377.3199999999988</v>
      </c>
      <c r="O33" t="str">
        <f>"Q"&amp;ROUNDUP(MONTH(Table1[[#This Row],[Order Date]])/3,0)</f>
        <v>Q2</v>
      </c>
      <c r="P33" t="str">
        <f>TEXT(Table1[[#This Row],[Order Date]],"MMM")</f>
        <v>Jun</v>
      </c>
      <c r="Q33">
        <f>MONTH(Table1[[#This Row],[Order Date]])</f>
        <v>6</v>
      </c>
    </row>
    <row r="34" spans="1:17" x14ac:dyDescent="0.25">
      <c r="A34" t="s">
        <v>156</v>
      </c>
      <c r="B34" s="2">
        <v>46338</v>
      </c>
      <c r="C34">
        <v>2026</v>
      </c>
      <c r="D34" t="s">
        <v>157</v>
      </c>
      <c r="E34" t="s">
        <v>158</v>
      </c>
      <c r="F34" t="s">
        <v>159</v>
      </c>
      <c r="G34" t="s">
        <v>160</v>
      </c>
      <c r="H34" t="s">
        <v>51</v>
      </c>
      <c r="I34" t="s">
        <v>23</v>
      </c>
      <c r="J34">
        <v>11</v>
      </c>
      <c r="K34">
        <v>201.37</v>
      </c>
      <c r="L34">
        <v>1250.05</v>
      </c>
      <c r="M34">
        <f>Table1[[#This Row],[Quantity Sold]]*Table1[[#This Row],[Unit Price]]</f>
        <v>2215.0700000000002</v>
      </c>
      <c r="N34">
        <f>Table1[[#This Row],[Sales Amount]]-Table1[[#This Row],[Cost Amount]]</f>
        <v>965.02000000000021</v>
      </c>
      <c r="O34" t="str">
        <f>"Q"&amp;ROUNDUP(MONTH(Table1[[#This Row],[Order Date]])/3,0)</f>
        <v>Q4</v>
      </c>
      <c r="P34" t="str">
        <f>TEXT(Table1[[#This Row],[Order Date]],"MMM")</f>
        <v>Nov</v>
      </c>
      <c r="Q34">
        <f>MONTH(Table1[[#This Row],[Order Date]])</f>
        <v>11</v>
      </c>
    </row>
    <row r="35" spans="1:17" x14ac:dyDescent="0.25">
      <c r="A35" t="s">
        <v>161</v>
      </c>
      <c r="B35" s="2">
        <v>46300</v>
      </c>
      <c r="C35">
        <v>2026</v>
      </c>
      <c r="D35" t="s">
        <v>64</v>
      </c>
      <c r="E35" t="s">
        <v>162</v>
      </c>
      <c r="F35" t="s">
        <v>163</v>
      </c>
      <c r="G35" t="s">
        <v>164</v>
      </c>
      <c r="H35" t="s">
        <v>68</v>
      </c>
      <c r="I35" t="s">
        <v>23</v>
      </c>
      <c r="J35">
        <v>17</v>
      </c>
      <c r="K35">
        <v>151.05000000000001</v>
      </c>
      <c r="L35">
        <v>1716.85</v>
      </c>
      <c r="M35">
        <f>Table1[[#This Row],[Quantity Sold]]*Table1[[#This Row],[Unit Price]]</f>
        <v>2567.8500000000004</v>
      </c>
      <c r="N35">
        <f>Table1[[#This Row],[Sales Amount]]-Table1[[#This Row],[Cost Amount]]</f>
        <v>851.00000000000045</v>
      </c>
      <c r="O35" t="str">
        <f>"Q"&amp;ROUNDUP(MONTH(Table1[[#This Row],[Order Date]])/3,0)</f>
        <v>Q4</v>
      </c>
      <c r="P35" t="str">
        <f>TEXT(Table1[[#This Row],[Order Date]],"MMM")</f>
        <v>Oct</v>
      </c>
      <c r="Q35">
        <f>MONTH(Table1[[#This Row],[Order Date]])</f>
        <v>10</v>
      </c>
    </row>
    <row r="36" spans="1:17" x14ac:dyDescent="0.25">
      <c r="A36" t="s">
        <v>165</v>
      </c>
      <c r="B36" s="2">
        <v>46052</v>
      </c>
      <c r="C36">
        <v>2026</v>
      </c>
      <c r="D36" t="s">
        <v>137</v>
      </c>
      <c r="E36" t="s">
        <v>166</v>
      </c>
      <c r="F36" t="s">
        <v>101</v>
      </c>
      <c r="G36" t="s">
        <v>102</v>
      </c>
      <c r="H36" t="s">
        <v>22</v>
      </c>
      <c r="I36" t="s">
        <v>52</v>
      </c>
      <c r="J36">
        <v>2</v>
      </c>
      <c r="K36">
        <v>333.63</v>
      </c>
      <c r="L36">
        <v>392.88</v>
      </c>
      <c r="M36">
        <f>Table1[[#This Row],[Quantity Sold]]*Table1[[#This Row],[Unit Price]]</f>
        <v>667.26</v>
      </c>
      <c r="N36">
        <f>Table1[[#This Row],[Sales Amount]]-Table1[[#This Row],[Cost Amount]]</f>
        <v>274.38</v>
      </c>
      <c r="O36" t="str">
        <f>"Q"&amp;ROUNDUP(MONTH(Table1[[#This Row],[Order Date]])/3,0)</f>
        <v>Q1</v>
      </c>
      <c r="P36" t="str">
        <f>TEXT(Table1[[#This Row],[Order Date]],"MMM")</f>
        <v>Jan</v>
      </c>
      <c r="Q36">
        <f>MONTH(Table1[[#This Row],[Order Date]])</f>
        <v>1</v>
      </c>
    </row>
    <row r="37" spans="1:17" x14ac:dyDescent="0.25">
      <c r="A37" t="s">
        <v>167</v>
      </c>
      <c r="B37" s="2">
        <v>46085</v>
      </c>
      <c r="C37">
        <v>2026</v>
      </c>
      <c r="D37" t="s">
        <v>104</v>
      </c>
      <c r="E37" t="s">
        <v>168</v>
      </c>
      <c r="F37" t="s">
        <v>169</v>
      </c>
      <c r="G37" t="s">
        <v>170</v>
      </c>
      <c r="H37" t="s">
        <v>22</v>
      </c>
      <c r="I37" t="s">
        <v>42</v>
      </c>
      <c r="J37">
        <v>9</v>
      </c>
      <c r="K37">
        <v>77.33</v>
      </c>
      <c r="L37">
        <v>375.33</v>
      </c>
      <c r="M37">
        <f>Table1[[#This Row],[Quantity Sold]]*Table1[[#This Row],[Unit Price]]</f>
        <v>695.97</v>
      </c>
      <c r="N37">
        <f>Table1[[#This Row],[Sales Amount]]-Table1[[#This Row],[Cost Amount]]</f>
        <v>320.64000000000004</v>
      </c>
      <c r="O37" t="str">
        <f>"Q"&amp;ROUNDUP(MONTH(Table1[[#This Row],[Order Date]])/3,0)</f>
        <v>Q1</v>
      </c>
      <c r="P37" t="str">
        <f>TEXT(Table1[[#This Row],[Order Date]],"MMM")</f>
        <v>Mar</v>
      </c>
      <c r="Q37">
        <f>MONTH(Table1[[#This Row],[Order Date]])</f>
        <v>3</v>
      </c>
    </row>
    <row r="38" spans="1:17" x14ac:dyDescent="0.25">
      <c r="A38" t="s">
        <v>171</v>
      </c>
      <c r="B38" s="2">
        <v>46149</v>
      </c>
      <c r="C38">
        <v>2026</v>
      </c>
      <c r="D38" t="s">
        <v>152</v>
      </c>
      <c r="E38" t="s">
        <v>172</v>
      </c>
      <c r="F38" t="s">
        <v>173</v>
      </c>
      <c r="G38" t="s">
        <v>174</v>
      </c>
      <c r="H38" t="s">
        <v>22</v>
      </c>
      <c r="I38" t="s">
        <v>29</v>
      </c>
      <c r="J38">
        <v>1</v>
      </c>
      <c r="K38">
        <v>251.54</v>
      </c>
      <c r="L38">
        <v>133.61000000000001</v>
      </c>
      <c r="M38">
        <f>Table1[[#This Row],[Quantity Sold]]*Table1[[#This Row],[Unit Price]]</f>
        <v>251.54</v>
      </c>
      <c r="N38">
        <f>Table1[[#This Row],[Sales Amount]]-Table1[[#This Row],[Cost Amount]]</f>
        <v>117.92999999999998</v>
      </c>
      <c r="O38" t="str">
        <f>"Q"&amp;ROUNDUP(MONTH(Table1[[#This Row],[Order Date]])/3,0)</f>
        <v>Q2</v>
      </c>
      <c r="P38" t="str">
        <f>TEXT(Table1[[#This Row],[Order Date]],"MMM")</f>
        <v>May</v>
      </c>
      <c r="Q38">
        <f>MONTH(Table1[[#This Row],[Order Date]])</f>
        <v>5</v>
      </c>
    </row>
    <row r="39" spans="1:17" x14ac:dyDescent="0.25">
      <c r="A39" t="s">
        <v>175</v>
      </c>
      <c r="B39" s="2">
        <v>46115</v>
      </c>
      <c r="C39">
        <v>2026</v>
      </c>
      <c r="D39" t="s">
        <v>137</v>
      </c>
      <c r="E39" t="s">
        <v>176</v>
      </c>
      <c r="F39" t="s">
        <v>177</v>
      </c>
      <c r="G39" t="s">
        <v>178</v>
      </c>
      <c r="H39" t="s">
        <v>41</v>
      </c>
      <c r="I39" t="s">
        <v>29</v>
      </c>
      <c r="J39">
        <v>1</v>
      </c>
      <c r="K39">
        <v>407.67</v>
      </c>
      <c r="L39">
        <v>288.17</v>
      </c>
      <c r="M39">
        <f>Table1[[#This Row],[Quantity Sold]]*Table1[[#This Row],[Unit Price]]</f>
        <v>407.67</v>
      </c>
      <c r="N39">
        <f>Table1[[#This Row],[Sales Amount]]-Table1[[#This Row],[Cost Amount]]</f>
        <v>119.5</v>
      </c>
      <c r="O39" t="str">
        <f>"Q"&amp;ROUNDUP(MONTH(Table1[[#This Row],[Order Date]])/3,0)</f>
        <v>Q2</v>
      </c>
      <c r="P39" t="str">
        <f>TEXT(Table1[[#This Row],[Order Date]],"MMM")</f>
        <v>Apr</v>
      </c>
      <c r="Q39">
        <f>MONTH(Table1[[#This Row],[Order Date]])</f>
        <v>4</v>
      </c>
    </row>
    <row r="40" spans="1:17" x14ac:dyDescent="0.25">
      <c r="A40" t="s">
        <v>179</v>
      </c>
      <c r="B40" s="2">
        <v>46242</v>
      </c>
      <c r="C40">
        <v>2026</v>
      </c>
      <c r="D40" t="s">
        <v>180</v>
      </c>
      <c r="E40" t="s">
        <v>26</v>
      </c>
      <c r="F40" t="s">
        <v>181</v>
      </c>
      <c r="G40" t="s">
        <v>182</v>
      </c>
      <c r="H40" t="s">
        <v>51</v>
      </c>
      <c r="I40" t="s">
        <v>29</v>
      </c>
      <c r="J40">
        <v>20</v>
      </c>
      <c r="K40">
        <v>98.75</v>
      </c>
      <c r="L40">
        <v>1287.8900000000001</v>
      </c>
      <c r="M40">
        <f>Table1[[#This Row],[Quantity Sold]]*Table1[[#This Row],[Unit Price]]</f>
        <v>1975</v>
      </c>
      <c r="N40">
        <f>Table1[[#This Row],[Sales Amount]]-Table1[[#This Row],[Cost Amount]]</f>
        <v>687.1099999999999</v>
      </c>
      <c r="O40" t="str">
        <f>"Q"&amp;ROUNDUP(MONTH(Table1[[#This Row],[Order Date]])/3,0)</f>
        <v>Q3</v>
      </c>
      <c r="P40" t="str">
        <f>TEXT(Table1[[#This Row],[Order Date]],"MMM")</f>
        <v>Aug</v>
      </c>
      <c r="Q40">
        <f>MONTH(Table1[[#This Row],[Order Date]])</f>
        <v>8</v>
      </c>
    </row>
    <row r="41" spans="1:17" x14ac:dyDescent="0.25">
      <c r="A41" t="s">
        <v>183</v>
      </c>
      <c r="B41" s="2">
        <v>46166</v>
      </c>
      <c r="C41">
        <v>2026</v>
      </c>
      <c r="D41" t="s">
        <v>184</v>
      </c>
      <c r="E41" t="s">
        <v>185</v>
      </c>
      <c r="F41" t="s">
        <v>186</v>
      </c>
      <c r="G41" t="s">
        <v>187</v>
      </c>
      <c r="H41" t="s">
        <v>97</v>
      </c>
      <c r="I41" t="s">
        <v>42</v>
      </c>
      <c r="J41">
        <v>6</v>
      </c>
      <c r="K41">
        <v>63.41</v>
      </c>
      <c r="L41">
        <v>257.01</v>
      </c>
      <c r="M41">
        <f>Table1[[#This Row],[Quantity Sold]]*Table1[[#This Row],[Unit Price]]</f>
        <v>380.46</v>
      </c>
      <c r="N41">
        <f>Table1[[#This Row],[Sales Amount]]-Table1[[#This Row],[Cost Amount]]</f>
        <v>123.44999999999999</v>
      </c>
      <c r="O41" t="str">
        <f>"Q"&amp;ROUNDUP(MONTH(Table1[[#This Row],[Order Date]])/3,0)</f>
        <v>Q2</v>
      </c>
      <c r="P41" t="str">
        <f>TEXT(Table1[[#This Row],[Order Date]],"MMM")</f>
        <v>May</v>
      </c>
      <c r="Q41">
        <f>MONTH(Table1[[#This Row],[Order Date]])</f>
        <v>5</v>
      </c>
    </row>
    <row r="42" spans="1:17" x14ac:dyDescent="0.25">
      <c r="A42" t="s">
        <v>188</v>
      </c>
      <c r="B42" s="2">
        <v>46218</v>
      </c>
      <c r="C42">
        <v>2026</v>
      </c>
      <c r="D42" t="s">
        <v>37</v>
      </c>
      <c r="E42" t="s">
        <v>189</v>
      </c>
      <c r="F42" t="s">
        <v>190</v>
      </c>
      <c r="G42" t="s">
        <v>191</v>
      </c>
      <c r="H42" t="s">
        <v>35</v>
      </c>
      <c r="I42" t="s">
        <v>52</v>
      </c>
      <c r="J42">
        <v>10</v>
      </c>
      <c r="K42">
        <v>428.74</v>
      </c>
      <c r="L42">
        <v>3643.64</v>
      </c>
      <c r="M42">
        <f>Table1[[#This Row],[Quantity Sold]]*Table1[[#This Row],[Unit Price]]</f>
        <v>4287.3999999999996</v>
      </c>
      <c r="N42">
        <f>Table1[[#This Row],[Sales Amount]]-Table1[[#This Row],[Cost Amount]]</f>
        <v>643.75999999999976</v>
      </c>
      <c r="O42" t="str">
        <f>"Q"&amp;ROUNDUP(MONTH(Table1[[#This Row],[Order Date]])/3,0)</f>
        <v>Q3</v>
      </c>
      <c r="P42" t="str">
        <f>TEXT(Table1[[#This Row],[Order Date]],"MMM")</f>
        <v>Jul</v>
      </c>
      <c r="Q42">
        <f>MONTH(Table1[[#This Row],[Order Date]])</f>
        <v>7</v>
      </c>
    </row>
    <row r="43" spans="1:17" x14ac:dyDescent="0.25">
      <c r="A43" t="s">
        <v>192</v>
      </c>
      <c r="B43" s="2">
        <v>46198</v>
      </c>
      <c r="C43">
        <v>2026</v>
      </c>
      <c r="D43" t="s">
        <v>193</v>
      </c>
      <c r="E43" t="s">
        <v>194</v>
      </c>
      <c r="F43" t="s">
        <v>195</v>
      </c>
      <c r="G43" t="s">
        <v>196</v>
      </c>
      <c r="H43" t="s">
        <v>35</v>
      </c>
      <c r="I43" t="s">
        <v>42</v>
      </c>
      <c r="J43">
        <v>9</v>
      </c>
      <c r="K43">
        <v>299.01</v>
      </c>
      <c r="L43">
        <v>1921.6</v>
      </c>
      <c r="M43">
        <f>Table1[[#This Row],[Quantity Sold]]*Table1[[#This Row],[Unit Price]]</f>
        <v>2691.09</v>
      </c>
      <c r="N43">
        <f>Table1[[#This Row],[Sales Amount]]-Table1[[#This Row],[Cost Amount]]</f>
        <v>769.49000000000024</v>
      </c>
      <c r="O43" t="str">
        <f>"Q"&amp;ROUNDUP(MONTH(Table1[[#This Row],[Order Date]])/3,0)</f>
        <v>Q2</v>
      </c>
      <c r="P43" t="str">
        <f>TEXT(Table1[[#This Row],[Order Date]],"MMM")</f>
        <v>Jun</v>
      </c>
      <c r="Q43">
        <f>MONTH(Table1[[#This Row],[Order Date]])</f>
        <v>6</v>
      </c>
    </row>
    <row r="44" spans="1:17" x14ac:dyDescent="0.25">
      <c r="A44" t="s">
        <v>197</v>
      </c>
      <c r="B44" s="2">
        <v>46319</v>
      </c>
      <c r="C44">
        <v>2026</v>
      </c>
      <c r="D44" t="s">
        <v>193</v>
      </c>
      <c r="E44" t="s">
        <v>198</v>
      </c>
      <c r="F44" t="s">
        <v>78</v>
      </c>
      <c r="G44" t="s">
        <v>79</v>
      </c>
      <c r="H44" t="s">
        <v>22</v>
      </c>
      <c r="I44" t="s">
        <v>42</v>
      </c>
      <c r="J44">
        <v>3</v>
      </c>
      <c r="K44">
        <v>224.4</v>
      </c>
      <c r="L44">
        <v>487.85</v>
      </c>
      <c r="M44">
        <f>Table1[[#This Row],[Quantity Sold]]*Table1[[#This Row],[Unit Price]]</f>
        <v>673.2</v>
      </c>
      <c r="N44">
        <f>Table1[[#This Row],[Sales Amount]]-Table1[[#This Row],[Cost Amount]]</f>
        <v>185.35000000000002</v>
      </c>
      <c r="O44" t="str">
        <f>"Q"&amp;ROUNDUP(MONTH(Table1[[#This Row],[Order Date]])/3,0)</f>
        <v>Q4</v>
      </c>
      <c r="P44" t="str">
        <f>TEXT(Table1[[#This Row],[Order Date]],"MMM")</f>
        <v>Oct</v>
      </c>
      <c r="Q44">
        <f>MONTH(Table1[[#This Row],[Order Date]])</f>
        <v>10</v>
      </c>
    </row>
    <row r="45" spans="1:17" x14ac:dyDescent="0.25">
      <c r="A45" t="s">
        <v>199</v>
      </c>
      <c r="B45" s="2">
        <v>46160</v>
      </c>
      <c r="C45">
        <v>2026</v>
      </c>
      <c r="D45" t="s">
        <v>200</v>
      </c>
      <c r="E45" t="s">
        <v>201</v>
      </c>
      <c r="F45" t="s">
        <v>144</v>
      </c>
      <c r="G45" t="s">
        <v>145</v>
      </c>
      <c r="H45" t="s">
        <v>97</v>
      </c>
      <c r="I45" t="s">
        <v>23</v>
      </c>
      <c r="J45">
        <v>17</v>
      </c>
      <c r="K45">
        <v>251.77</v>
      </c>
      <c r="L45">
        <v>2312.52</v>
      </c>
      <c r="M45">
        <f>Table1[[#This Row],[Quantity Sold]]*Table1[[#This Row],[Unit Price]]</f>
        <v>4280.09</v>
      </c>
      <c r="N45">
        <f>Table1[[#This Row],[Sales Amount]]-Table1[[#This Row],[Cost Amount]]</f>
        <v>1967.5700000000002</v>
      </c>
      <c r="O45" t="str">
        <f>"Q"&amp;ROUNDUP(MONTH(Table1[[#This Row],[Order Date]])/3,0)</f>
        <v>Q2</v>
      </c>
      <c r="P45" t="str">
        <f>TEXT(Table1[[#This Row],[Order Date]],"MMM")</f>
        <v>May</v>
      </c>
      <c r="Q45">
        <f>MONTH(Table1[[#This Row],[Order Date]])</f>
        <v>5</v>
      </c>
    </row>
    <row r="46" spans="1:17" x14ac:dyDescent="0.25">
      <c r="A46" t="s">
        <v>202</v>
      </c>
      <c r="B46" s="2">
        <v>46036</v>
      </c>
      <c r="C46">
        <v>2026</v>
      </c>
      <c r="D46" t="s">
        <v>203</v>
      </c>
      <c r="E46" t="s">
        <v>204</v>
      </c>
      <c r="F46" t="s">
        <v>190</v>
      </c>
      <c r="G46" t="s">
        <v>191</v>
      </c>
      <c r="H46" t="s">
        <v>35</v>
      </c>
      <c r="I46" t="s">
        <v>23</v>
      </c>
      <c r="J46">
        <v>20</v>
      </c>
      <c r="K46">
        <v>325.52</v>
      </c>
      <c r="L46">
        <v>4014.71</v>
      </c>
      <c r="M46">
        <f>Table1[[#This Row],[Quantity Sold]]*Table1[[#This Row],[Unit Price]]</f>
        <v>6510.4</v>
      </c>
      <c r="N46">
        <f>Table1[[#This Row],[Sales Amount]]-Table1[[#This Row],[Cost Amount]]</f>
        <v>2495.6899999999996</v>
      </c>
      <c r="O46" t="str">
        <f>"Q"&amp;ROUNDUP(MONTH(Table1[[#This Row],[Order Date]])/3,0)</f>
        <v>Q1</v>
      </c>
      <c r="P46" t="str">
        <f>TEXT(Table1[[#This Row],[Order Date]],"MMM")</f>
        <v>Jan</v>
      </c>
      <c r="Q46">
        <f>MONTH(Table1[[#This Row],[Order Date]])</f>
        <v>1</v>
      </c>
    </row>
    <row r="47" spans="1:17" x14ac:dyDescent="0.25">
      <c r="A47" t="s">
        <v>205</v>
      </c>
      <c r="B47" s="2">
        <v>46364</v>
      </c>
      <c r="C47">
        <v>2026</v>
      </c>
      <c r="D47" t="s">
        <v>206</v>
      </c>
      <c r="E47" t="s">
        <v>207</v>
      </c>
      <c r="F47" t="s">
        <v>186</v>
      </c>
      <c r="G47" t="s">
        <v>187</v>
      </c>
      <c r="H47" t="s">
        <v>97</v>
      </c>
      <c r="I47" t="s">
        <v>42</v>
      </c>
      <c r="J47">
        <v>6</v>
      </c>
      <c r="K47">
        <v>440.76</v>
      </c>
      <c r="L47">
        <v>1519.3</v>
      </c>
      <c r="M47">
        <f>Table1[[#This Row],[Quantity Sold]]*Table1[[#This Row],[Unit Price]]</f>
        <v>2644.56</v>
      </c>
      <c r="N47">
        <f>Table1[[#This Row],[Sales Amount]]-Table1[[#This Row],[Cost Amount]]</f>
        <v>1125.26</v>
      </c>
      <c r="O47" t="str">
        <f>"Q"&amp;ROUNDUP(MONTH(Table1[[#This Row],[Order Date]])/3,0)</f>
        <v>Q4</v>
      </c>
      <c r="P47" t="str">
        <f>TEXT(Table1[[#This Row],[Order Date]],"MMM")</f>
        <v>Dec</v>
      </c>
      <c r="Q47">
        <f>MONTH(Table1[[#This Row],[Order Date]])</f>
        <v>12</v>
      </c>
    </row>
    <row r="48" spans="1:17" x14ac:dyDescent="0.25">
      <c r="A48" t="s">
        <v>208</v>
      </c>
      <c r="B48" s="2">
        <v>46353</v>
      </c>
      <c r="C48">
        <v>2026</v>
      </c>
      <c r="D48" t="s">
        <v>209</v>
      </c>
      <c r="E48" t="s">
        <v>210</v>
      </c>
      <c r="F48" t="s">
        <v>95</v>
      </c>
      <c r="G48" t="s">
        <v>96</v>
      </c>
      <c r="H48" t="s">
        <v>97</v>
      </c>
      <c r="I48" t="s">
        <v>29</v>
      </c>
      <c r="J48">
        <v>11</v>
      </c>
      <c r="K48">
        <v>355.29</v>
      </c>
      <c r="L48">
        <v>2750.55</v>
      </c>
      <c r="M48">
        <f>Table1[[#This Row],[Quantity Sold]]*Table1[[#This Row],[Unit Price]]</f>
        <v>3908.19</v>
      </c>
      <c r="N48">
        <f>Table1[[#This Row],[Sales Amount]]-Table1[[#This Row],[Cost Amount]]</f>
        <v>1157.6399999999999</v>
      </c>
      <c r="O48" t="str">
        <f>"Q"&amp;ROUNDUP(MONTH(Table1[[#This Row],[Order Date]])/3,0)</f>
        <v>Q4</v>
      </c>
      <c r="P48" t="str">
        <f>TEXT(Table1[[#This Row],[Order Date]],"MMM")</f>
        <v>Nov</v>
      </c>
      <c r="Q48">
        <f>MONTH(Table1[[#This Row],[Order Date]])</f>
        <v>11</v>
      </c>
    </row>
    <row r="49" spans="1:17" x14ac:dyDescent="0.25">
      <c r="A49" t="s">
        <v>211</v>
      </c>
      <c r="B49" s="2">
        <v>46217</v>
      </c>
      <c r="C49">
        <v>2026</v>
      </c>
      <c r="D49" t="s">
        <v>200</v>
      </c>
      <c r="E49" t="s">
        <v>212</v>
      </c>
      <c r="F49" t="s">
        <v>91</v>
      </c>
      <c r="G49" t="s">
        <v>92</v>
      </c>
      <c r="H49" t="s">
        <v>68</v>
      </c>
      <c r="I49" t="s">
        <v>29</v>
      </c>
      <c r="J49">
        <v>5</v>
      </c>
      <c r="K49">
        <v>44.07</v>
      </c>
      <c r="L49">
        <v>153.94999999999999</v>
      </c>
      <c r="M49">
        <f>Table1[[#This Row],[Quantity Sold]]*Table1[[#This Row],[Unit Price]]</f>
        <v>220.35</v>
      </c>
      <c r="N49">
        <f>Table1[[#This Row],[Sales Amount]]-Table1[[#This Row],[Cost Amount]]</f>
        <v>66.400000000000006</v>
      </c>
      <c r="O49" t="str">
        <f>"Q"&amp;ROUNDUP(MONTH(Table1[[#This Row],[Order Date]])/3,0)</f>
        <v>Q3</v>
      </c>
      <c r="P49" t="str">
        <f>TEXT(Table1[[#This Row],[Order Date]],"MMM")</f>
        <v>Jul</v>
      </c>
      <c r="Q49">
        <f>MONTH(Table1[[#This Row],[Order Date]])</f>
        <v>7</v>
      </c>
    </row>
    <row r="50" spans="1:17" x14ac:dyDescent="0.25">
      <c r="A50" t="s">
        <v>213</v>
      </c>
      <c r="B50" s="2">
        <v>46239</v>
      </c>
      <c r="C50">
        <v>2026</v>
      </c>
      <c r="D50" t="s">
        <v>152</v>
      </c>
      <c r="E50" t="s">
        <v>214</v>
      </c>
      <c r="F50" t="s">
        <v>215</v>
      </c>
      <c r="G50" t="s">
        <v>216</v>
      </c>
      <c r="H50" t="s">
        <v>51</v>
      </c>
      <c r="I50" t="s">
        <v>23</v>
      </c>
      <c r="J50">
        <v>11</v>
      </c>
      <c r="K50">
        <v>413.88</v>
      </c>
      <c r="L50">
        <v>3095.26</v>
      </c>
      <c r="M50">
        <f>Table1[[#This Row],[Quantity Sold]]*Table1[[#This Row],[Unit Price]]</f>
        <v>4552.68</v>
      </c>
      <c r="N50">
        <f>Table1[[#This Row],[Sales Amount]]-Table1[[#This Row],[Cost Amount]]</f>
        <v>1457.42</v>
      </c>
      <c r="O50" t="str">
        <f>"Q"&amp;ROUNDUP(MONTH(Table1[[#This Row],[Order Date]])/3,0)</f>
        <v>Q3</v>
      </c>
      <c r="P50" t="str">
        <f>TEXT(Table1[[#This Row],[Order Date]],"MMM")</f>
        <v>Aug</v>
      </c>
      <c r="Q50">
        <f>MONTH(Table1[[#This Row],[Order Date]])</f>
        <v>8</v>
      </c>
    </row>
    <row r="51" spans="1:17" x14ac:dyDescent="0.25">
      <c r="A51" t="s">
        <v>217</v>
      </c>
      <c r="B51" s="2">
        <v>46161</v>
      </c>
      <c r="C51">
        <v>2026</v>
      </c>
      <c r="D51" t="s">
        <v>112</v>
      </c>
      <c r="E51" t="s">
        <v>214</v>
      </c>
      <c r="F51" t="s">
        <v>218</v>
      </c>
      <c r="G51" t="s">
        <v>219</v>
      </c>
      <c r="H51" t="s">
        <v>220</v>
      </c>
      <c r="I51" t="s">
        <v>52</v>
      </c>
      <c r="J51">
        <v>10</v>
      </c>
      <c r="K51">
        <v>462.99</v>
      </c>
      <c r="L51">
        <v>3011.06</v>
      </c>
      <c r="M51">
        <f>Table1[[#This Row],[Quantity Sold]]*Table1[[#This Row],[Unit Price]]</f>
        <v>4629.8999999999996</v>
      </c>
      <c r="N51">
        <f>Table1[[#This Row],[Sales Amount]]-Table1[[#This Row],[Cost Amount]]</f>
        <v>1618.8399999999997</v>
      </c>
      <c r="O51" t="str">
        <f>"Q"&amp;ROUNDUP(MONTH(Table1[[#This Row],[Order Date]])/3,0)</f>
        <v>Q2</v>
      </c>
      <c r="P51" t="str">
        <f>TEXT(Table1[[#This Row],[Order Date]],"MMM")</f>
        <v>May</v>
      </c>
      <c r="Q51">
        <f>MONTH(Table1[[#This Row],[Order Date]])</f>
        <v>5</v>
      </c>
    </row>
    <row r="52" spans="1:17" x14ac:dyDescent="0.25">
      <c r="A52" t="s">
        <v>221</v>
      </c>
      <c r="B52" s="2">
        <v>46184</v>
      </c>
      <c r="C52">
        <v>2026</v>
      </c>
      <c r="D52" t="s">
        <v>222</v>
      </c>
      <c r="E52" t="s">
        <v>223</v>
      </c>
      <c r="F52" t="s">
        <v>144</v>
      </c>
      <c r="G52" t="s">
        <v>145</v>
      </c>
      <c r="H52" t="s">
        <v>97</v>
      </c>
      <c r="I52" t="s">
        <v>52</v>
      </c>
      <c r="J52">
        <v>2</v>
      </c>
      <c r="K52">
        <v>487.67</v>
      </c>
      <c r="L52">
        <v>627.03</v>
      </c>
      <c r="M52">
        <f>Table1[[#This Row],[Quantity Sold]]*Table1[[#This Row],[Unit Price]]</f>
        <v>975.34</v>
      </c>
      <c r="N52">
        <f>Table1[[#This Row],[Sales Amount]]-Table1[[#This Row],[Cost Amount]]</f>
        <v>348.31000000000006</v>
      </c>
      <c r="O52" t="str">
        <f>"Q"&amp;ROUNDUP(MONTH(Table1[[#This Row],[Order Date]])/3,0)</f>
        <v>Q2</v>
      </c>
      <c r="P52" t="str">
        <f>TEXT(Table1[[#This Row],[Order Date]],"MMM")</f>
        <v>Jun</v>
      </c>
      <c r="Q52">
        <f>MONTH(Table1[[#This Row],[Order Date]])</f>
        <v>6</v>
      </c>
    </row>
    <row r="53" spans="1:17" x14ac:dyDescent="0.25">
      <c r="A53" t="s">
        <v>224</v>
      </c>
      <c r="B53" s="2">
        <v>46249</v>
      </c>
      <c r="C53">
        <v>2026</v>
      </c>
      <c r="D53" t="s">
        <v>137</v>
      </c>
      <c r="E53" t="s">
        <v>225</v>
      </c>
      <c r="F53" t="s">
        <v>129</v>
      </c>
      <c r="G53" t="s">
        <v>130</v>
      </c>
      <c r="H53" t="s">
        <v>35</v>
      </c>
      <c r="I53" t="s">
        <v>29</v>
      </c>
      <c r="J53">
        <v>15</v>
      </c>
      <c r="K53">
        <v>359.56</v>
      </c>
      <c r="L53">
        <v>3727.76</v>
      </c>
      <c r="M53">
        <f>Table1[[#This Row],[Quantity Sold]]*Table1[[#This Row],[Unit Price]]</f>
        <v>5393.4</v>
      </c>
      <c r="N53">
        <f>Table1[[#This Row],[Sales Amount]]-Table1[[#This Row],[Cost Amount]]</f>
        <v>1665.6399999999994</v>
      </c>
      <c r="O53" t="str">
        <f>"Q"&amp;ROUNDUP(MONTH(Table1[[#This Row],[Order Date]])/3,0)</f>
        <v>Q3</v>
      </c>
      <c r="P53" t="str">
        <f>TEXT(Table1[[#This Row],[Order Date]],"MMM")</f>
        <v>Aug</v>
      </c>
      <c r="Q53">
        <f>MONTH(Table1[[#This Row],[Order Date]])</f>
        <v>8</v>
      </c>
    </row>
    <row r="54" spans="1:17" x14ac:dyDescent="0.25">
      <c r="A54" t="s">
        <v>226</v>
      </c>
      <c r="B54" s="2">
        <v>46316</v>
      </c>
      <c r="C54">
        <v>2026</v>
      </c>
      <c r="D54" t="s">
        <v>227</v>
      </c>
      <c r="E54" t="s">
        <v>228</v>
      </c>
      <c r="F54" t="s">
        <v>229</v>
      </c>
      <c r="G54" t="s">
        <v>230</v>
      </c>
      <c r="H54" t="s">
        <v>35</v>
      </c>
      <c r="I54" t="s">
        <v>29</v>
      </c>
      <c r="J54">
        <v>5</v>
      </c>
      <c r="K54">
        <v>313.41000000000003</v>
      </c>
      <c r="L54">
        <v>956.31</v>
      </c>
      <c r="M54">
        <f>Table1[[#This Row],[Quantity Sold]]*Table1[[#This Row],[Unit Price]]</f>
        <v>1567.0500000000002</v>
      </c>
      <c r="N54">
        <f>Table1[[#This Row],[Sales Amount]]-Table1[[#This Row],[Cost Amount]]</f>
        <v>610.74000000000024</v>
      </c>
      <c r="O54" t="str">
        <f>"Q"&amp;ROUNDUP(MONTH(Table1[[#This Row],[Order Date]])/3,0)</f>
        <v>Q4</v>
      </c>
      <c r="P54" t="str">
        <f>TEXT(Table1[[#This Row],[Order Date]],"MMM")</f>
        <v>Oct</v>
      </c>
      <c r="Q54">
        <f>MONTH(Table1[[#This Row],[Order Date]])</f>
        <v>10</v>
      </c>
    </row>
    <row r="55" spans="1:17" x14ac:dyDescent="0.25">
      <c r="A55" t="s">
        <v>231</v>
      </c>
      <c r="B55" s="2">
        <v>46224</v>
      </c>
      <c r="C55">
        <v>2026</v>
      </c>
      <c r="D55" t="s">
        <v>232</v>
      </c>
      <c r="E55" t="s">
        <v>189</v>
      </c>
      <c r="F55" t="s">
        <v>233</v>
      </c>
      <c r="G55" t="s">
        <v>234</v>
      </c>
      <c r="H55" t="s">
        <v>51</v>
      </c>
      <c r="I55" t="s">
        <v>23</v>
      </c>
      <c r="J55">
        <v>18</v>
      </c>
      <c r="K55">
        <v>478.01</v>
      </c>
      <c r="L55">
        <v>5144.46</v>
      </c>
      <c r="M55">
        <f>Table1[[#This Row],[Quantity Sold]]*Table1[[#This Row],[Unit Price]]</f>
        <v>8604.18</v>
      </c>
      <c r="N55">
        <f>Table1[[#This Row],[Sales Amount]]-Table1[[#This Row],[Cost Amount]]</f>
        <v>3459.7200000000003</v>
      </c>
      <c r="O55" t="str">
        <f>"Q"&amp;ROUNDUP(MONTH(Table1[[#This Row],[Order Date]])/3,0)</f>
        <v>Q3</v>
      </c>
      <c r="P55" t="str">
        <f>TEXT(Table1[[#This Row],[Order Date]],"MMM")</f>
        <v>Jul</v>
      </c>
      <c r="Q55">
        <f>MONTH(Table1[[#This Row],[Order Date]])</f>
        <v>7</v>
      </c>
    </row>
    <row r="56" spans="1:17" x14ac:dyDescent="0.25">
      <c r="A56" t="s">
        <v>235</v>
      </c>
      <c r="B56" s="2">
        <v>46188</v>
      </c>
      <c r="C56">
        <v>2026</v>
      </c>
      <c r="D56" t="s">
        <v>236</v>
      </c>
      <c r="E56" t="s">
        <v>237</v>
      </c>
      <c r="F56" t="s">
        <v>215</v>
      </c>
      <c r="G56" t="s">
        <v>216</v>
      </c>
      <c r="H56" t="s">
        <v>51</v>
      </c>
      <c r="I56" t="s">
        <v>42</v>
      </c>
      <c r="J56">
        <v>2</v>
      </c>
      <c r="K56">
        <v>498.01</v>
      </c>
      <c r="L56">
        <v>600.57000000000005</v>
      </c>
      <c r="M56">
        <f>Table1[[#This Row],[Quantity Sold]]*Table1[[#This Row],[Unit Price]]</f>
        <v>996.02</v>
      </c>
      <c r="N56">
        <f>Table1[[#This Row],[Sales Amount]]-Table1[[#This Row],[Cost Amount]]</f>
        <v>395.44999999999993</v>
      </c>
      <c r="O56" t="str">
        <f>"Q"&amp;ROUNDUP(MONTH(Table1[[#This Row],[Order Date]])/3,0)</f>
        <v>Q2</v>
      </c>
      <c r="P56" t="str">
        <f>TEXT(Table1[[#This Row],[Order Date]],"MMM")</f>
        <v>Jun</v>
      </c>
      <c r="Q56">
        <f>MONTH(Table1[[#This Row],[Order Date]])</f>
        <v>6</v>
      </c>
    </row>
    <row r="57" spans="1:17" x14ac:dyDescent="0.25">
      <c r="A57" t="s">
        <v>238</v>
      </c>
      <c r="B57" s="2">
        <v>46353</v>
      </c>
      <c r="C57">
        <v>2026</v>
      </c>
      <c r="D57" t="s">
        <v>239</v>
      </c>
      <c r="E57" t="s">
        <v>240</v>
      </c>
      <c r="F57" t="s">
        <v>241</v>
      </c>
      <c r="G57" t="s">
        <v>242</v>
      </c>
      <c r="H57" t="s">
        <v>35</v>
      </c>
      <c r="I57" t="s">
        <v>29</v>
      </c>
      <c r="J57">
        <v>11</v>
      </c>
      <c r="K57">
        <v>489.24</v>
      </c>
      <c r="L57">
        <v>3208.94</v>
      </c>
      <c r="M57">
        <f>Table1[[#This Row],[Quantity Sold]]*Table1[[#This Row],[Unit Price]]</f>
        <v>5381.64</v>
      </c>
      <c r="N57">
        <f>Table1[[#This Row],[Sales Amount]]-Table1[[#This Row],[Cost Amount]]</f>
        <v>2172.7000000000003</v>
      </c>
      <c r="O57" t="str">
        <f>"Q"&amp;ROUNDUP(MONTH(Table1[[#This Row],[Order Date]])/3,0)</f>
        <v>Q4</v>
      </c>
      <c r="P57" t="str">
        <f>TEXT(Table1[[#This Row],[Order Date]],"MMM")</f>
        <v>Nov</v>
      </c>
      <c r="Q57">
        <f>MONTH(Table1[[#This Row],[Order Date]])</f>
        <v>11</v>
      </c>
    </row>
    <row r="58" spans="1:17" x14ac:dyDescent="0.25">
      <c r="A58" t="s">
        <v>243</v>
      </c>
      <c r="B58" s="2">
        <v>46125</v>
      </c>
      <c r="C58">
        <v>2026</v>
      </c>
      <c r="D58" t="s">
        <v>244</v>
      </c>
      <c r="E58" t="s">
        <v>245</v>
      </c>
      <c r="F58" t="s">
        <v>173</v>
      </c>
      <c r="G58" t="s">
        <v>174</v>
      </c>
      <c r="H58" t="s">
        <v>22</v>
      </c>
      <c r="I58" t="s">
        <v>52</v>
      </c>
      <c r="J58">
        <v>9</v>
      </c>
      <c r="K58">
        <v>21.89</v>
      </c>
      <c r="L58">
        <v>121.32</v>
      </c>
      <c r="M58">
        <f>Table1[[#This Row],[Quantity Sold]]*Table1[[#This Row],[Unit Price]]</f>
        <v>197.01</v>
      </c>
      <c r="N58">
        <f>Table1[[#This Row],[Sales Amount]]-Table1[[#This Row],[Cost Amount]]</f>
        <v>75.69</v>
      </c>
      <c r="O58" t="str">
        <f>"Q"&amp;ROUNDUP(MONTH(Table1[[#This Row],[Order Date]])/3,0)</f>
        <v>Q2</v>
      </c>
      <c r="P58" t="str">
        <f>TEXT(Table1[[#This Row],[Order Date]],"MMM")</f>
        <v>Apr</v>
      </c>
      <c r="Q58">
        <f>MONTH(Table1[[#This Row],[Order Date]])</f>
        <v>4</v>
      </c>
    </row>
    <row r="59" spans="1:17" x14ac:dyDescent="0.25">
      <c r="A59" t="s">
        <v>246</v>
      </c>
      <c r="B59" s="2">
        <v>46382</v>
      </c>
      <c r="C59">
        <v>2026</v>
      </c>
      <c r="D59" t="s">
        <v>247</v>
      </c>
      <c r="E59" t="s">
        <v>248</v>
      </c>
      <c r="F59" t="s">
        <v>249</v>
      </c>
      <c r="G59" t="s">
        <v>250</v>
      </c>
      <c r="H59" t="s">
        <v>51</v>
      </c>
      <c r="I59" t="s">
        <v>42</v>
      </c>
      <c r="J59">
        <v>17</v>
      </c>
      <c r="K59">
        <v>114.21</v>
      </c>
      <c r="L59">
        <v>1375.29</v>
      </c>
      <c r="M59">
        <f>Table1[[#This Row],[Quantity Sold]]*Table1[[#This Row],[Unit Price]]</f>
        <v>1941.57</v>
      </c>
      <c r="N59">
        <f>Table1[[#This Row],[Sales Amount]]-Table1[[#This Row],[Cost Amount]]</f>
        <v>566.28</v>
      </c>
      <c r="O59" t="str">
        <f>"Q"&amp;ROUNDUP(MONTH(Table1[[#This Row],[Order Date]])/3,0)</f>
        <v>Q4</v>
      </c>
      <c r="P59" t="str">
        <f>TEXT(Table1[[#This Row],[Order Date]],"MMM")</f>
        <v>Dec</v>
      </c>
      <c r="Q59">
        <f>MONTH(Table1[[#This Row],[Order Date]])</f>
        <v>12</v>
      </c>
    </row>
    <row r="60" spans="1:17" x14ac:dyDescent="0.25">
      <c r="A60" t="s">
        <v>251</v>
      </c>
      <c r="B60" s="2">
        <v>46181</v>
      </c>
      <c r="C60">
        <v>2026</v>
      </c>
      <c r="D60" t="s">
        <v>227</v>
      </c>
      <c r="E60" t="s">
        <v>252</v>
      </c>
      <c r="F60" t="s">
        <v>139</v>
      </c>
      <c r="G60" t="s">
        <v>140</v>
      </c>
      <c r="H60" t="s">
        <v>22</v>
      </c>
      <c r="I60" t="s">
        <v>23</v>
      </c>
      <c r="J60">
        <v>6</v>
      </c>
      <c r="K60">
        <v>244.51</v>
      </c>
      <c r="L60">
        <v>1125.9000000000001</v>
      </c>
      <c r="M60">
        <f>Table1[[#This Row],[Quantity Sold]]*Table1[[#This Row],[Unit Price]]</f>
        <v>1467.06</v>
      </c>
      <c r="N60">
        <f>Table1[[#This Row],[Sales Amount]]-Table1[[#This Row],[Cost Amount]]</f>
        <v>341.15999999999985</v>
      </c>
      <c r="O60" t="str">
        <f>"Q"&amp;ROUNDUP(MONTH(Table1[[#This Row],[Order Date]])/3,0)</f>
        <v>Q2</v>
      </c>
      <c r="P60" t="str">
        <f>TEXT(Table1[[#This Row],[Order Date]],"MMM")</f>
        <v>Jun</v>
      </c>
      <c r="Q60">
        <f>MONTH(Table1[[#This Row],[Order Date]])</f>
        <v>6</v>
      </c>
    </row>
    <row r="61" spans="1:17" x14ac:dyDescent="0.25">
      <c r="A61" t="s">
        <v>253</v>
      </c>
      <c r="B61" s="2">
        <v>46058</v>
      </c>
      <c r="C61">
        <v>2026</v>
      </c>
      <c r="D61" t="s">
        <v>152</v>
      </c>
      <c r="E61" t="s">
        <v>201</v>
      </c>
      <c r="F61" t="s">
        <v>33</v>
      </c>
      <c r="G61" t="s">
        <v>34</v>
      </c>
      <c r="H61" t="s">
        <v>35</v>
      </c>
      <c r="I61" t="s">
        <v>29</v>
      </c>
      <c r="J61">
        <v>5</v>
      </c>
      <c r="K61">
        <v>267.2</v>
      </c>
      <c r="L61">
        <v>807.44</v>
      </c>
      <c r="M61">
        <f>Table1[[#This Row],[Quantity Sold]]*Table1[[#This Row],[Unit Price]]</f>
        <v>1336</v>
      </c>
      <c r="N61">
        <f>Table1[[#This Row],[Sales Amount]]-Table1[[#This Row],[Cost Amount]]</f>
        <v>528.55999999999995</v>
      </c>
      <c r="O61" t="str">
        <f>"Q"&amp;ROUNDUP(MONTH(Table1[[#This Row],[Order Date]])/3,0)</f>
        <v>Q1</v>
      </c>
      <c r="P61" t="str">
        <f>TEXT(Table1[[#This Row],[Order Date]],"MMM")</f>
        <v>Feb</v>
      </c>
      <c r="Q61">
        <f>MONTH(Table1[[#This Row],[Order Date]])</f>
        <v>2</v>
      </c>
    </row>
    <row r="62" spans="1:17" x14ac:dyDescent="0.25">
      <c r="A62" t="s">
        <v>254</v>
      </c>
      <c r="B62" s="2">
        <v>46186</v>
      </c>
      <c r="C62">
        <v>2026</v>
      </c>
      <c r="D62" t="s">
        <v>115</v>
      </c>
      <c r="E62" t="s">
        <v>255</v>
      </c>
      <c r="F62" t="s">
        <v>241</v>
      </c>
      <c r="G62" t="s">
        <v>242</v>
      </c>
      <c r="H62" t="s">
        <v>35</v>
      </c>
      <c r="I62" t="s">
        <v>23</v>
      </c>
      <c r="J62">
        <v>20</v>
      </c>
      <c r="K62">
        <v>325.04000000000002</v>
      </c>
      <c r="L62">
        <v>3717.21</v>
      </c>
      <c r="M62">
        <f>Table1[[#This Row],[Quantity Sold]]*Table1[[#This Row],[Unit Price]]</f>
        <v>6500.8</v>
      </c>
      <c r="N62">
        <f>Table1[[#This Row],[Sales Amount]]-Table1[[#This Row],[Cost Amount]]</f>
        <v>2783.59</v>
      </c>
      <c r="O62" t="str">
        <f>"Q"&amp;ROUNDUP(MONTH(Table1[[#This Row],[Order Date]])/3,0)</f>
        <v>Q2</v>
      </c>
      <c r="P62" t="str">
        <f>TEXT(Table1[[#This Row],[Order Date]],"MMM")</f>
        <v>Jun</v>
      </c>
      <c r="Q62">
        <f>MONTH(Table1[[#This Row],[Order Date]])</f>
        <v>6</v>
      </c>
    </row>
    <row r="63" spans="1:17" x14ac:dyDescent="0.25">
      <c r="A63" t="s">
        <v>256</v>
      </c>
      <c r="B63" s="2">
        <v>46269</v>
      </c>
      <c r="C63">
        <v>2026</v>
      </c>
      <c r="D63" t="s">
        <v>257</v>
      </c>
      <c r="E63" t="s">
        <v>258</v>
      </c>
      <c r="F63" t="s">
        <v>39</v>
      </c>
      <c r="G63" t="s">
        <v>40</v>
      </c>
      <c r="H63" t="s">
        <v>41</v>
      </c>
      <c r="I63" t="s">
        <v>29</v>
      </c>
      <c r="J63">
        <v>15</v>
      </c>
      <c r="K63">
        <v>272.16000000000003</v>
      </c>
      <c r="L63">
        <v>2496.39</v>
      </c>
      <c r="M63">
        <f>Table1[[#This Row],[Quantity Sold]]*Table1[[#This Row],[Unit Price]]</f>
        <v>4082.4000000000005</v>
      </c>
      <c r="N63">
        <f>Table1[[#This Row],[Sales Amount]]-Table1[[#This Row],[Cost Amount]]</f>
        <v>1586.0100000000007</v>
      </c>
      <c r="O63" t="str">
        <f>"Q"&amp;ROUNDUP(MONTH(Table1[[#This Row],[Order Date]])/3,0)</f>
        <v>Q3</v>
      </c>
      <c r="P63" t="str">
        <f>TEXT(Table1[[#This Row],[Order Date]],"MMM")</f>
        <v>Sep</v>
      </c>
      <c r="Q63">
        <f>MONTH(Table1[[#This Row],[Order Date]])</f>
        <v>9</v>
      </c>
    </row>
    <row r="64" spans="1:17" x14ac:dyDescent="0.25">
      <c r="A64" t="s">
        <v>259</v>
      </c>
      <c r="B64" s="2">
        <v>46115</v>
      </c>
      <c r="C64">
        <v>2026</v>
      </c>
      <c r="D64" t="s">
        <v>260</v>
      </c>
      <c r="E64" t="s">
        <v>261</v>
      </c>
      <c r="F64" t="s">
        <v>49</v>
      </c>
      <c r="G64" t="s">
        <v>50</v>
      </c>
      <c r="H64" t="s">
        <v>51</v>
      </c>
      <c r="I64" t="s">
        <v>52</v>
      </c>
      <c r="J64">
        <v>16</v>
      </c>
      <c r="K64">
        <v>328.88</v>
      </c>
      <c r="L64">
        <v>3220.64</v>
      </c>
      <c r="M64">
        <f>Table1[[#This Row],[Quantity Sold]]*Table1[[#This Row],[Unit Price]]</f>
        <v>5262.08</v>
      </c>
      <c r="N64">
        <f>Table1[[#This Row],[Sales Amount]]-Table1[[#This Row],[Cost Amount]]</f>
        <v>2041.44</v>
      </c>
      <c r="O64" t="str">
        <f>"Q"&amp;ROUNDUP(MONTH(Table1[[#This Row],[Order Date]])/3,0)</f>
        <v>Q2</v>
      </c>
      <c r="P64" t="str">
        <f>TEXT(Table1[[#This Row],[Order Date]],"MMM")</f>
        <v>Apr</v>
      </c>
      <c r="Q64">
        <f>MONTH(Table1[[#This Row],[Order Date]])</f>
        <v>4</v>
      </c>
    </row>
    <row r="65" spans="1:17" x14ac:dyDescent="0.25">
      <c r="A65" t="s">
        <v>262</v>
      </c>
      <c r="B65" s="2">
        <v>46066</v>
      </c>
      <c r="C65">
        <v>2026</v>
      </c>
      <c r="D65" t="s">
        <v>263</v>
      </c>
      <c r="E65" t="s">
        <v>166</v>
      </c>
      <c r="F65" t="s">
        <v>56</v>
      </c>
      <c r="G65" t="s">
        <v>57</v>
      </c>
      <c r="H65" t="s">
        <v>51</v>
      </c>
      <c r="I65" t="s">
        <v>42</v>
      </c>
      <c r="J65">
        <v>8</v>
      </c>
      <c r="K65">
        <v>43.03</v>
      </c>
      <c r="L65">
        <v>218.34</v>
      </c>
      <c r="M65">
        <f>Table1[[#This Row],[Quantity Sold]]*Table1[[#This Row],[Unit Price]]</f>
        <v>344.24</v>
      </c>
      <c r="N65">
        <f>Table1[[#This Row],[Sales Amount]]-Table1[[#This Row],[Cost Amount]]</f>
        <v>125.9</v>
      </c>
      <c r="O65" t="str">
        <f>"Q"&amp;ROUNDUP(MONTH(Table1[[#This Row],[Order Date]])/3,0)</f>
        <v>Q1</v>
      </c>
      <c r="P65" t="str">
        <f>TEXT(Table1[[#This Row],[Order Date]],"MMM")</f>
        <v>Feb</v>
      </c>
      <c r="Q65">
        <f>MONTH(Table1[[#This Row],[Order Date]])</f>
        <v>2</v>
      </c>
    </row>
    <row r="66" spans="1:17" x14ac:dyDescent="0.25">
      <c r="A66" t="s">
        <v>264</v>
      </c>
      <c r="B66" s="2">
        <v>46334</v>
      </c>
      <c r="C66">
        <v>2026</v>
      </c>
      <c r="D66" t="s">
        <v>265</v>
      </c>
      <c r="E66" t="s">
        <v>266</v>
      </c>
      <c r="F66" t="s">
        <v>190</v>
      </c>
      <c r="G66" t="s">
        <v>191</v>
      </c>
      <c r="H66" t="s">
        <v>35</v>
      </c>
      <c r="I66" t="s">
        <v>42</v>
      </c>
      <c r="J66">
        <v>11</v>
      </c>
      <c r="K66">
        <v>258.91000000000003</v>
      </c>
      <c r="L66">
        <v>1655.69</v>
      </c>
      <c r="M66">
        <f>Table1[[#This Row],[Quantity Sold]]*Table1[[#This Row],[Unit Price]]</f>
        <v>2848.01</v>
      </c>
      <c r="N66">
        <f>Table1[[#This Row],[Sales Amount]]-Table1[[#This Row],[Cost Amount]]</f>
        <v>1192.3200000000002</v>
      </c>
      <c r="O66" t="str">
        <f>"Q"&amp;ROUNDUP(MONTH(Table1[[#This Row],[Order Date]])/3,0)</f>
        <v>Q4</v>
      </c>
      <c r="P66" t="str">
        <f>TEXT(Table1[[#This Row],[Order Date]],"MMM")</f>
        <v>Nov</v>
      </c>
      <c r="Q66">
        <f>MONTH(Table1[[#This Row],[Order Date]])</f>
        <v>11</v>
      </c>
    </row>
    <row r="67" spans="1:17" x14ac:dyDescent="0.25">
      <c r="A67" t="s">
        <v>267</v>
      </c>
      <c r="B67" s="2">
        <v>46044</v>
      </c>
      <c r="C67">
        <v>2026</v>
      </c>
      <c r="D67" t="s">
        <v>268</v>
      </c>
      <c r="E67" t="s">
        <v>269</v>
      </c>
      <c r="F67" t="s">
        <v>186</v>
      </c>
      <c r="G67" t="s">
        <v>187</v>
      </c>
      <c r="H67" t="s">
        <v>97</v>
      </c>
      <c r="I67" t="s">
        <v>29</v>
      </c>
      <c r="J67">
        <v>12</v>
      </c>
      <c r="K67">
        <v>30.01</v>
      </c>
      <c r="L67">
        <v>224.36</v>
      </c>
      <c r="M67">
        <f>Table1[[#This Row],[Quantity Sold]]*Table1[[#This Row],[Unit Price]]</f>
        <v>360.12</v>
      </c>
      <c r="N67">
        <f>Table1[[#This Row],[Sales Amount]]-Table1[[#This Row],[Cost Amount]]</f>
        <v>135.76</v>
      </c>
      <c r="O67" t="str">
        <f>"Q"&amp;ROUNDUP(MONTH(Table1[[#This Row],[Order Date]])/3,0)</f>
        <v>Q1</v>
      </c>
      <c r="P67" t="str">
        <f>TEXT(Table1[[#This Row],[Order Date]],"MMM")</f>
        <v>Jan</v>
      </c>
      <c r="Q67">
        <f>MONTH(Table1[[#This Row],[Order Date]])</f>
        <v>1</v>
      </c>
    </row>
    <row r="68" spans="1:17" x14ac:dyDescent="0.25">
      <c r="A68" t="s">
        <v>270</v>
      </c>
      <c r="B68" s="2">
        <v>46199</v>
      </c>
      <c r="C68">
        <v>2026</v>
      </c>
      <c r="D68" t="s">
        <v>271</v>
      </c>
      <c r="E68" t="s">
        <v>223</v>
      </c>
      <c r="F68" t="s">
        <v>186</v>
      </c>
      <c r="G68" t="s">
        <v>187</v>
      </c>
      <c r="H68" t="s">
        <v>97</v>
      </c>
      <c r="I68" t="s">
        <v>29</v>
      </c>
      <c r="J68">
        <v>14</v>
      </c>
      <c r="K68">
        <v>301.13</v>
      </c>
      <c r="L68">
        <v>2469.3200000000002</v>
      </c>
      <c r="M68">
        <f>Table1[[#This Row],[Quantity Sold]]*Table1[[#This Row],[Unit Price]]</f>
        <v>4215.82</v>
      </c>
      <c r="N68">
        <f>Table1[[#This Row],[Sales Amount]]-Table1[[#This Row],[Cost Amount]]</f>
        <v>1746.4999999999995</v>
      </c>
      <c r="O68" t="str">
        <f>"Q"&amp;ROUNDUP(MONTH(Table1[[#This Row],[Order Date]])/3,0)</f>
        <v>Q2</v>
      </c>
      <c r="P68" t="str">
        <f>TEXT(Table1[[#This Row],[Order Date]],"MMM")</f>
        <v>Jun</v>
      </c>
      <c r="Q68">
        <f>MONTH(Table1[[#This Row],[Order Date]])</f>
        <v>6</v>
      </c>
    </row>
    <row r="69" spans="1:17" x14ac:dyDescent="0.25">
      <c r="A69" t="s">
        <v>272</v>
      </c>
      <c r="B69" s="2">
        <v>46299</v>
      </c>
      <c r="C69">
        <v>2026</v>
      </c>
      <c r="D69" t="s">
        <v>86</v>
      </c>
      <c r="E69" t="s">
        <v>273</v>
      </c>
      <c r="F69" t="s">
        <v>49</v>
      </c>
      <c r="G69" t="s">
        <v>50</v>
      </c>
      <c r="H69" t="s">
        <v>51</v>
      </c>
      <c r="I69" t="s">
        <v>42</v>
      </c>
      <c r="J69">
        <v>4</v>
      </c>
      <c r="K69">
        <v>187.73</v>
      </c>
      <c r="L69">
        <v>484.83</v>
      </c>
      <c r="M69">
        <f>Table1[[#This Row],[Quantity Sold]]*Table1[[#This Row],[Unit Price]]</f>
        <v>750.92</v>
      </c>
      <c r="N69">
        <f>Table1[[#This Row],[Sales Amount]]-Table1[[#This Row],[Cost Amount]]</f>
        <v>266.08999999999997</v>
      </c>
      <c r="O69" t="str">
        <f>"Q"&amp;ROUNDUP(MONTH(Table1[[#This Row],[Order Date]])/3,0)</f>
        <v>Q4</v>
      </c>
      <c r="P69" t="str">
        <f>TEXT(Table1[[#This Row],[Order Date]],"MMM")</f>
        <v>Oct</v>
      </c>
      <c r="Q69">
        <f>MONTH(Table1[[#This Row],[Order Date]])</f>
        <v>10</v>
      </c>
    </row>
    <row r="70" spans="1:17" x14ac:dyDescent="0.25">
      <c r="A70" t="s">
        <v>274</v>
      </c>
      <c r="B70" s="2">
        <v>46217</v>
      </c>
      <c r="C70">
        <v>2026</v>
      </c>
      <c r="D70" t="s">
        <v>275</v>
      </c>
      <c r="E70" t="s">
        <v>273</v>
      </c>
      <c r="F70" t="s">
        <v>229</v>
      </c>
      <c r="G70" t="s">
        <v>230</v>
      </c>
      <c r="H70" t="s">
        <v>35</v>
      </c>
      <c r="I70" t="s">
        <v>42</v>
      </c>
      <c r="J70">
        <v>14</v>
      </c>
      <c r="K70">
        <v>333.08</v>
      </c>
      <c r="L70">
        <v>3518.84</v>
      </c>
      <c r="M70">
        <f>Table1[[#This Row],[Quantity Sold]]*Table1[[#This Row],[Unit Price]]</f>
        <v>4663.12</v>
      </c>
      <c r="N70">
        <f>Table1[[#This Row],[Sales Amount]]-Table1[[#This Row],[Cost Amount]]</f>
        <v>1144.2799999999997</v>
      </c>
      <c r="O70" t="str">
        <f>"Q"&amp;ROUNDUP(MONTH(Table1[[#This Row],[Order Date]])/3,0)</f>
        <v>Q3</v>
      </c>
      <c r="P70" t="str">
        <f>TEXT(Table1[[#This Row],[Order Date]],"MMM")</f>
        <v>Jul</v>
      </c>
      <c r="Q70">
        <f>MONTH(Table1[[#This Row],[Order Date]])</f>
        <v>7</v>
      </c>
    </row>
    <row r="71" spans="1:17" x14ac:dyDescent="0.25">
      <c r="A71" t="s">
        <v>276</v>
      </c>
      <c r="B71" s="2">
        <v>46030</v>
      </c>
      <c r="C71">
        <v>2026</v>
      </c>
      <c r="D71" t="s">
        <v>70</v>
      </c>
      <c r="E71" t="s">
        <v>277</v>
      </c>
      <c r="F71" t="s">
        <v>278</v>
      </c>
      <c r="G71" t="s">
        <v>279</v>
      </c>
      <c r="H71" t="s">
        <v>220</v>
      </c>
      <c r="I71" t="s">
        <v>52</v>
      </c>
      <c r="J71">
        <v>14</v>
      </c>
      <c r="K71">
        <v>498.2</v>
      </c>
      <c r="L71">
        <v>4789.07</v>
      </c>
      <c r="M71">
        <f>Table1[[#This Row],[Quantity Sold]]*Table1[[#This Row],[Unit Price]]</f>
        <v>6974.8</v>
      </c>
      <c r="N71">
        <f>Table1[[#This Row],[Sales Amount]]-Table1[[#This Row],[Cost Amount]]</f>
        <v>2185.7300000000005</v>
      </c>
      <c r="O71" t="str">
        <f>"Q"&amp;ROUNDUP(MONTH(Table1[[#This Row],[Order Date]])/3,0)</f>
        <v>Q1</v>
      </c>
      <c r="P71" t="str">
        <f>TEXT(Table1[[#This Row],[Order Date]],"MMM")</f>
        <v>Jan</v>
      </c>
      <c r="Q71">
        <f>MONTH(Table1[[#This Row],[Order Date]])</f>
        <v>1</v>
      </c>
    </row>
    <row r="72" spans="1:17" x14ac:dyDescent="0.25">
      <c r="A72" t="s">
        <v>280</v>
      </c>
      <c r="B72" s="2">
        <v>46377</v>
      </c>
      <c r="C72">
        <v>2026</v>
      </c>
      <c r="D72" t="s">
        <v>281</v>
      </c>
      <c r="E72" t="s">
        <v>128</v>
      </c>
      <c r="F72" t="s">
        <v>66</v>
      </c>
      <c r="G72" t="s">
        <v>67</v>
      </c>
      <c r="H72" t="s">
        <v>68</v>
      </c>
      <c r="I72" t="s">
        <v>29</v>
      </c>
      <c r="J72">
        <v>14</v>
      </c>
      <c r="K72">
        <v>118.82</v>
      </c>
      <c r="L72">
        <v>857.4</v>
      </c>
      <c r="M72">
        <f>Table1[[#This Row],[Quantity Sold]]*Table1[[#This Row],[Unit Price]]</f>
        <v>1663.48</v>
      </c>
      <c r="N72">
        <f>Table1[[#This Row],[Sales Amount]]-Table1[[#This Row],[Cost Amount]]</f>
        <v>806.08</v>
      </c>
      <c r="O72" t="str">
        <f>"Q"&amp;ROUNDUP(MONTH(Table1[[#This Row],[Order Date]])/3,0)</f>
        <v>Q4</v>
      </c>
      <c r="P72" t="str">
        <f>TEXT(Table1[[#This Row],[Order Date]],"MMM")</f>
        <v>Dec</v>
      </c>
      <c r="Q72">
        <f>MONTH(Table1[[#This Row],[Order Date]])</f>
        <v>12</v>
      </c>
    </row>
    <row r="73" spans="1:17" x14ac:dyDescent="0.25">
      <c r="A73" t="s">
        <v>282</v>
      </c>
      <c r="B73" s="2">
        <v>46209</v>
      </c>
      <c r="C73">
        <v>2026</v>
      </c>
      <c r="D73" t="s">
        <v>89</v>
      </c>
      <c r="E73" t="s">
        <v>168</v>
      </c>
      <c r="F73" t="s">
        <v>149</v>
      </c>
      <c r="G73" t="s">
        <v>150</v>
      </c>
      <c r="H73" t="s">
        <v>22</v>
      </c>
      <c r="I73" t="s">
        <v>52</v>
      </c>
      <c r="J73">
        <v>10</v>
      </c>
      <c r="K73">
        <v>343.27</v>
      </c>
      <c r="L73">
        <v>2108.08</v>
      </c>
      <c r="M73">
        <f>Table1[[#This Row],[Quantity Sold]]*Table1[[#This Row],[Unit Price]]</f>
        <v>3432.7</v>
      </c>
      <c r="N73">
        <f>Table1[[#This Row],[Sales Amount]]-Table1[[#This Row],[Cost Amount]]</f>
        <v>1324.62</v>
      </c>
      <c r="O73" t="str">
        <f>"Q"&amp;ROUNDUP(MONTH(Table1[[#This Row],[Order Date]])/3,0)</f>
        <v>Q3</v>
      </c>
      <c r="P73" t="str">
        <f>TEXT(Table1[[#This Row],[Order Date]],"MMM")</f>
        <v>Jul</v>
      </c>
      <c r="Q73">
        <f>MONTH(Table1[[#This Row],[Order Date]])</f>
        <v>7</v>
      </c>
    </row>
    <row r="74" spans="1:17" x14ac:dyDescent="0.25">
      <c r="A74" t="s">
        <v>283</v>
      </c>
      <c r="B74" s="2">
        <v>46084</v>
      </c>
      <c r="C74">
        <v>2026</v>
      </c>
      <c r="D74" t="s">
        <v>284</v>
      </c>
      <c r="E74" t="s">
        <v>285</v>
      </c>
      <c r="F74" t="s">
        <v>72</v>
      </c>
      <c r="G74" t="s">
        <v>73</v>
      </c>
      <c r="H74" t="s">
        <v>41</v>
      </c>
      <c r="I74" t="s">
        <v>23</v>
      </c>
      <c r="J74">
        <v>3</v>
      </c>
      <c r="K74">
        <v>396.35</v>
      </c>
      <c r="L74">
        <v>768.01</v>
      </c>
      <c r="M74">
        <f>Table1[[#This Row],[Quantity Sold]]*Table1[[#This Row],[Unit Price]]</f>
        <v>1189.0500000000002</v>
      </c>
      <c r="N74">
        <f>Table1[[#This Row],[Sales Amount]]-Table1[[#This Row],[Cost Amount]]</f>
        <v>421.04000000000019</v>
      </c>
      <c r="O74" t="str">
        <f>"Q"&amp;ROUNDUP(MONTH(Table1[[#This Row],[Order Date]])/3,0)</f>
        <v>Q1</v>
      </c>
      <c r="P74" t="str">
        <f>TEXT(Table1[[#This Row],[Order Date]],"MMM")</f>
        <v>Mar</v>
      </c>
      <c r="Q74">
        <f>MONTH(Table1[[#This Row],[Order Date]])</f>
        <v>3</v>
      </c>
    </row>
    <row r="75" spans="1:17" x14ac:dyDescent="0.25">
      <c r="A75" t="s">
        <v>286</v>
      </c>
      <c r="B75" s="2">
        <v>46291</v>
      </c>
      <c r="C75">
        <v>2026</v>
      </c>
      <c r="D75" t="s">
        <v>121</v>
      </c>
      <c r="E75" t="s">
        <v>65</v>
      </c>
      <c r="F75" t="s">
        <v>72</v>
      </c>
      <c r="G75" t="s">
        <v>73</v>
      </c>
      <c r="H75" t="s">
        <v>41</v>
      </c>
      <c r="I75" t="s">
        <v>29</v>
      </c>
      <c r="J75">
        <v>10</v>
      </c>
      <c r="K75">
        <v>229.1</v>
      </c>
      <c r="L75">
        <v>1720.56</v>
      </c>
      <c r="M75">
        <f>Table1[[#This Row],[Quantity Sold]]*Table1[[#This Row],[Unit Price]]</f>
        <v>2291</v>
      </c>
      <c r="N75">
        <f>Table1[[#This Row],[Sales Amount]]-Table1[[#This Row],[Cost Amount]]</f>
        <v>570.44000000000005</v>
      </c>
      <c r="O75" t="str">
        <f>"Q"&amp;ROUNDUP(MONTH(Table1[[#This Row],[Order Date]])/3,0)</f>
        <v>Q3</v>
      </c>
      <c r="P75" t="str">
        <f>TEXT(Table1[[#This Row],[Order Date]],"MMM")</f>
        <v>Sep</v>
      </c>
      <c r="Q75">
        <f>MONTH(Table1[[#This Row],[Order Date]])</f>
        <v>9</v>
      </c>
    </row>
    <row r="76" spans="1:17" x14ac:dyDescent="0.25">
      <c r="A76" t="s">
        <v>287</v>
      </c>
      <c r="B76" s="2">
        <v>46141</v>
      </c>
      <c r="C76">
        <v>2026</v>
      </c>
      <c r="D76" t="s">
        <v>288</v>
      </c>
      <c r="E76" t="s">
        <v>289</v>
      </c>
      <c r="F76" t="s">
        <v>218</v>
      </c>
      <c r="G76" t="s">
        <v>219</v>
      </c>
      <c r="H76" t="s">
        <v>220</v>
      </c>
      <c r="I76" t="s">
        <v>29</v>
      </c>
      <c r="J76">
        <v>16</v>
      </c>
      <c r="K76">
        <v>186.91</v>
      </c>
      <c r="L76">
        <v>2156.7199999999998</v>
      </c>
      <c r="M76">
        <f>Table1[[#This Row],[Quantity Sold]]*Table1[[#This Row],[Unit Price]]</f>
        <v>2990.56</v>
      </c>
      <c r="N76">
        <f>Table1[[#This Row],[Sales Amount]]-Table1[[#This Row],[Cost Amount]]</f>
        <v>833.84000000000015</v>
      </c>
      <c r="O76" t="str">
        <f>"Q"&amp;ROUNDUP(MONTH(Table1[[#This Row],[Order Date]])/3,0)</f>
        <v>Q2</v>
      </c>
      <c r="P76" t="str">
        <f>TEXT(Table1[[#This Row],[Order Date]],"MMM")</f>
        <v>Apr</v>
      </c>
      <c r="Q76">
        <f>MONTH(Table1[[#This Row],[Order Date]])</f>
        <v>4</v>
      </c>
    </row>
    <row r="77" spans="1:17" x14ac:dyDescent="0.25">
      <c r="A77" t="s">
        <v>290</v>
      </c>
      <c r="B77" s="2">
        <v>46275</v>
      </c>
      <c r="C77">
        <v>2026</v>
      </c>
      <c r="D77" t="s">
        <v>291</v>
      </c>
      <c r="E77" t="s">
        <v>292</v>
      </c>
      <c r="F77" t="s">
        <v>293</v>
      </c>
      <c r="G77" t="s">
        <v>294</v>
      </c>
      <c r="H77" t="s">
        <v>68</v>
      </c>
      <c r="I77" t="s">
        <v>52</v>
      </c>
      <c r="J77">
        <v>15</v>
      </c>
      <c r="K77">
        <v>52.92</v>
      </c>
      <c r="L77">
        <v>441.41</v>
      </c>
      <c r="M77">
        <f>Table1[[#This Row],[Quantity Sold]]*Table1[[#This Row],[Unit Price]]</f>
        <v>793.80000000000007</v>
      </c>
      <c r="N77">
        <f>Table1[[#This Row],[Sales Amount]]-Table1[[#This Row],[Cost Amount]]</f>
        <v>352.39000000000004</v>
      </c>
      <c r="O77" t="str">
        <f>"Q"&amp;ROUNDUP(MONTH(Table1[[#This Row],[Order Date]])/3,0)</f>
        <v>Q3</v>
      </c>
      <c r="P77" t="str">
        <f>TEXT(Table1[[#This Row],[Order Date]],"MMM")</f>
        <v>Sep</v>
      </c>
      <c r="Q77">
        <f>MONTH(Table1[[#This Row],[Order Date]])</f>
        <v>9</v>
      </c>
    </row>
    <row r="78" spans="1:17" x14ac:dyDescent="0.25">
      <c r="A78" t="s">
        <v>295</v>
      </c>
      <c r="B78" s="2">
        <v>46149</v>
      </c>
      <c r="C78">
        <v>2026</v>
      </c>
      <c r="D78" t="s">
        <v>296</v>
      </c>
      <c r="E78" t="s">
        <v>297</v>
      </c>
      <c r="F78" t="s">
        <v>129</v>
      </c>
      <c r="G78" t="s">
        <v>130</v>
      </c>
      <c r="H78" t="s">
        <v>35</v>
      </c>
      <c r="I78" t="s">
        <v>52</v>
      </c>
      <c r="J78">
        <v>19</v>
      </c>
      <c r="K78">
        <v>278.99</v>
      </c>
      <c r="L78">
        <v>3712.3</v>
      </c>
      <c r="M78">
        <f>Table1[[#This Row],[Quantity Sold]]*Table1[[#This Row],[Unit Price]]</f>
        <v>5300.81</v>
      </c>
      <c r="N78">
        <f>Table1[[#This Row],[Sales Amount]]-Table1[[#This Row],[Cost Amount]]</f>
        <v>1588.5100000000002</v>
      </c>
      <c r="O78" t="str">
        <f>"Q"&amp;ROUNDUP(MONTH(Table1[[#This Row],[Order Date]])/3,0)</f>
        <v>Q2</v>
      </c>
      <c r="P78" t="str">
        <f>TEXT(Table1[[#This Row],[Order Date]],"MMM")</f>
        <v>May</v>
      </c>
      <c r="Q78">
        <f>MONTH(Table1[[#This Row],[Order Date]])</f>
        <v>5</v>
      </c>
    </row>
    <row r="79" spans="1:17" x14ac:dyDescent="0.25">
      <c r="A79" t="s">
        <v>298</v>
      </c>
      <c r="B79" s="2">
        <v>46178</v>
      </c>
      <c r="C79">
        <v>2026</v>
      </c>
      <c r="D79" t="s">
        <v>299</v>
      </c>
      <c r="E79" t="s">
        <v>300</v>
      </c>
      <c r="F79" t="s">
        <v>139</v>
      </c>
      <c r="G79" t="s">
        <v>140</v>
      </c>
      <c r="H79" t="s">
        <v>22</v>
      </c>
      <c r="I79" t="s">
        <v>23</v>
      </c>
      <c r="J79">
        <v>19</v>
      </c>
      <c r="K79">
        <v>171.6</v>
      </c>
      <c r="L79">
        <v>2650.42</v>
      </c>
      <c r="M79">
        <f>Table1[[#This Row],[Quantity Sold]]*Table1[[#This Row],[Unit Price]]</f>
        <v>3260.4</v>
      </c>
      <c r="N79">
        <f>Table1[[#This Row],[Sales Amount]]-Table1[[#This Row],[Cost Amount]]</f>
        <v>609.98</v>
      </c>
      <c r="O79" t="str">
        <f>"Q"&amp;ROUNDUP(MONTH(Table1[[#This Row],[Order Date]])/3,0)</f>
        <v>Q2</v>
      </c>
      <c r="P79" t="str">
        <f>TEXT(Table1[[#This Row],[Order Date]],"MMM")</f>
        <v>Jun</v>
      </c>
      <c r="Q79">
        <f>MONTH(Table1[[#This Row],[Order Date]])</f>
        <v>6</v>
      </c>
    </row>
    <row r="80" spans="1:17" x14ac:dyDescent="0.25">
      <c r="A80" t="s">
        <v>301</v>
      </c>
      <c r="B80" s="2">
        <v>46132</v>
      </c>
      <c r="C80">
        <v>2026</v>
      </c>
      <c r="D80" t="s">
        <v>203</v>
      </c>
      <c r="E80" t="s">
        <v>302</v>
      </c>
      <c r="F80" t="s">
        <v>27</v>
      </c>
      <c r="G80" t="s">
        <v>28</v>
      </c>
      <c r="H80" t="s">
        <v>22</v>
      </c>
      <c r="I80" t="s">
        <v>42</v>
      </c>
      <c r="J80">
        <v>2</v>
      </c>
      <c r="K80">
        <v>346.03</v>
      </c>
      <c r="L80">
        <v>505.71</v>
      </c>
      <c r="M80">
        <f>Table1[[#This Row],[Quantity Sold]]*Table1[[#This Row],[Unit Price]]</f>
        <v>692.06</v>
      </c>
      <c r="N80">
        <f>Table1[[#This Row],[Sales Amount]]-Table1[[#This Row],[Cost Amount]]</f>
        <v>186.34999999999997</v>
      </c>
      <c r="O80" t="str">
        <f>"Q"&amp;ROUNDUP(MONTH(Table1[[#This Row],[Order Date]])/3,0)</f>
        <v>Q2</v>
      </c>
      <c r="P80" t="str">
        <f>TEXT(Table1[[#This Row],[Order Date]],"MMM")</f>
        <v>Apr</v>
      </c>
      <c r="Q80">
        <f>MONTH(Table1[[#This Row],[Order Date]])</f>
        <v>4</v>
      </c>
    </row>
    <row r="81" spans="1:17" x14ac:dyDescent="0.25">
      <c r="A81" t="s">
        <v>303</v>
      </c>
      <c r="B81" s="2">
        <v>46074</v>
      </c>
      <c r="C81">
        <v>2026</v>
      </c>
      <c r="D81" t="s">
        <v>271</v>
      </c>
      <c r="E81" t="s">
        <v>304</v>
      </c>
      <c r="F81" t="s">
        <v>49</v>
      </c>
      <c r="G81" t="s">
        <v>50</v>
      </c>
      <c r="H81" t="s">
        <v>51</v>
      </c>
      <c r="I81" t="s">
        <v>52</v>
      </c>
      <c r="J81">
        <v>10</v>
      </c>
      <c r="K81">
        <v>112.32</v>
      </c>
      <c r="L81">
        <v>712.9</v>
      </c>
      <c r="M81">
        <f>Table1[[#This Row],[Quantity Sold]]*Table1[[#This Row],[Unit Price]]</f>
        <v>1123.1999999999998</v>
      </c>
      <c r="N81">
        <f>Table1[[#This Row],[Sales Amount]]-Table1[[#This Row],[Cost Amount]]</f>
        <v>410.29999999999984</v>
      </c>
      <c r="O81" t="str">
        <f>"Q"&amp;ROUNDUP(MONTH(Table1[[#This Row],[Order Date]])/3,0)</f>
        <v>Q1</v>
      </c>
      <c r="P81" t="str">
        <f>TEXT(Table1[[#This Row],[Order Date]],"MMM")</f>
        <v>Feb</v>
      </c>
      <c r="Q81">
        <f>MONTH(Table1[[#This Row],[Order Date]])</f>
        <v>2</v>
      </c>
    </row>
    <row r="82" spans="1:17" x14ac:dyDescent="0.25">
      <c r="A82" t="s">
        <v>305</v>
      </c>
      <c r="B82" s="2">
        <v>46030</v>
      </c>
      <c r="C82">
        <v>2026</v>
      </c>
      <c r="D82" t="s">
        <v>86</v>
      </c>
      <c r="E82" t="s">
        <v>60</v>
      </c>
      <c r="F82" t="s">
        <v>72</v>
      </c>
      <c r="G82" t="s">
        <v>73</v>
      </c>
      <c r="H82" t="s">
        <v>41</v>
      </c>
      <c r="I82" t="s">
        <v>29</v>
      </c>
      <c r="J82">
        <v>10</v>
      </c>
      <c r="K82">
        <v>457.33</v>
      </c>
      <c r="L82">
        <v>3420.38</v>
      </c>
      <c r="M82">
        <f>Table1[[#This Row],[Quantity Sold]]*Table1[[#This Row],[Unit Price]]</f>
        <v>4573.3</v>
      </c>
      <c r="N82">
        <f>Table1[[#This Row],[Sales Amount]]-Table1[[#This Row],[Cost Amount]]</f>
        <v>1152.92</v>
      </c>
      <c r="O82" t="str">
        <f>"Q"&amp;ROUNDUP(MONTH(Table1[[#This Row],[Order Date]])/3,0)</f>
        <v>Q1</v>
      </c>
      <c r="P82" t="str">
        <f>TEXT(Table1[[#This Row],[Order Date]],"MMM")</f>
        <v>Jan</v>
      </c>
      <c r="Q82">
        <f>MONTH(Table1[[#This Row],[Order Date]])</f>
        <v>1</v>
      </c>
    </row>
    <row r="83" spans="1:17" x14ac:dyDescent="0.25">
      <c r="A83" t="s">
        <v>306</v>
      </c>
      <c r="B83" s="2">
        <v>46101</v>
      </c>
      <c r="C83">
        <v>2026</v>
      </c>
      <c r="D83" t="s">
        <v>307</v>
      </c>
      <c r="E83" t="s">
        <v>308</v>
      </c>
      <c r="F83" t="s">
        <v>20</v>
      </c>
      <c r="G83" t="s">
        <v>21</v>
      </c>
      <c r="H83" t="s">
        <v>22</v>
      </c>
      <c r="I83" t="s">
        <v>52</v>
      </c>
      <c r="J83">
        <v>19</v>
      </c>
      <c r="K83">
        <v>332.94</v>
      </c>
      <c r="L83">
        <v>4662.28</v>
      </c>
      <c r="M83">
        <f>Table1[[#This Row],[Quantity Sold]]*Table1[[#This Row],[Unit Price]]</f>
        <v>6325.86</v>
      </c>
      <c r="N83">
        <f>Table1[[#This Row],[Sales Amount]]-Table1[[#This Row],[Cost Amount]]</f>
        <v>1663.58</v>
      </c>
      <c r="O83" t="str">
        <f>"Q"&amp;ROUNDUP(MONTH(Table1[[#This Row],[Order Date]])/3,0)</f>
        <v>Q1</v>
      </c>
      <c r="P83" t="str">
        <f>TEXT(Table1[[#This Row],[Order Date]],"MMM")</f>
        <v>Mar</v>
      </c>
      <c r="Q83">
        <f>MONTH(Table1[[#This Row],[Order Date]])</f>
        <v>3</v>
      </c>
    </row>
    <row r="84" spans="1:17" x14ac:dyDescent="0.25">
      <c r="A84" t="s">
        <v>309</v>
      </c>
      <c r="B84" s="2">
        <v>46239</v>
      </c>
      <c r="C84">
        <v>2026</v>
      </c>
      <c r="D84" t="s">
        <v>263</v>
      </c>
      <c r="E84" t="s">
        <v>310</v>
      </c>
      <c r="F84" t="s">
        <v>144</v>
      </c>
      <c r="G84" t="s">
        <v>145</v>
      </c>
      <c r="H84" t="s">
        <v>97</v>
      </c>
      <c r="I84" t="s">
        <v>23</v>
      </c>
      <c r="J84">
        <v>16</v>
      </c>
      <c r="K84">
        <v>117.48</v>
      </c>
      <c r="L84">
        <v>1093.48</v>
      </c>
      <c r="M84">
        <f>Table1[[#This Row],[Quantity Sold]]*Table1[[#This Row],[Unit Price]]</f>
        <v>1879.68</v>
      </c>
      <c r="N84">
        <f>Table1[[#This Row],[Sales Amount]]-Table1[[#This Row],[Cost Amount]]</f>
        <v>786.2</v>
      </c>
      <c r="O84" t="str">
        <f>"Q"&amp;ROUNDUP(MONTH(Table1[[#This Row],[Order Date]])/3,0)</f>
        <v>Q3</v>
      </c>
      <c r="P84" t="str">
        <f>TEXT(Table1[[#This Row],[Order Date]],"MMM")</f>
        <v>Aug</v>
      </c>
      <c r="Q84">
        <f>MONTH(Table1[[#This Row],[Order Date]])</f>
        <v>8</v>
      </c>
    </row>
    <row r="85" spans="1:17" x14ac:dyDescent="0.25">
      <c r="A85" t="s">
        <v>311</v>
      </c>
      <c r="B85" s="2">
        <v>46385</v>
      </c>
      <c r="C85">
        <v>2026</v>
      </c>
      <c r="D85" t="s">
        <v>25</v>
      </c>
      <c r="E85" t="s">
        <v>312</v>
      </c>
      <c r="F85" t="s">
        <v>313</v>
      </c>
      <c r="G85" t="s">
        <v>314</v>
      </c>
      <c r="H85" t="s">
        <v>68</v>
      </c>
      <c r="I85" t="s">
        <v>29</v>
      </c>
      <c r="J85">
        <v>1</v>
      </c>
      <c r="K85">
        <v>295.5</v>
      </c>
      <c r="L85">
        <v>208.4</v>
      </c>
      <c r="M85">
        <f>Table1[[#This Row],[Quantity Sold]]*Table1[[#This Row],[Unit Price]]</f>
        <v>295.5</v>
      </c>
      <c r="N85">
        <f>Table1[[#This Row],[Sales Amount]]-Table1[[#This Row],[Cost Amount]]</f>
        <v>87.1</v>
      </c>
      <c r="O85" t="str">
        <f>"Q"&amp;ROUNDUP(MONTH(Table1[[#This Row],[Order Date]])/3,0)</f>
        <v>Q4</v>
      </c>
      <c r="P85" t="str">
        <f>TEXT(Table1[[#This Row],[Order Date]],"MMM")</f>
        <v>Dec</v>
      </c>
      <c r="Q85">
        <f>MONTH(Table1[[#This Row],[Order Date]])</f>
        <v>12</v>
      </c>
    </row>
    <row r="86" spans="1:17" x14ac:dyDescent="0.25">
      <c r="A86" t="s">
        <v>315</v>
      </c>
      <c r="B86" s="2">
        <v>46344</v>
      </c>
      <c r="C86">
        <v>2026</v>
      </c>
      <c r="D86" t="s">
        <v>316</v>
      </c>
      <c r="E86" t="s">
        <v>237</v>
      </c>
      <c r="F86" t="s">
        <v>317</v>
      </c>
      <c r="G86" t="s">
        <v>318</v>
      </c>
      <c r="H86" t="s">
        <v>22</v>
      </c>
      <c r="I86" t="s">
        <v>52</v>
      </c>
      <c r="J86">
        <v>18</v>
      </c>
      <c r="K86">
        <v>37.06</v>
      </c>
      <c r="L86">
        <v>361.59</v>
      </c>
      <c r="M86">
        <f>Table1[[#This Row],[Quantity Sold]]*Table1[[#This Row],[Unit Price]]</f>
        <v>667.08</v>
      </c>
      <c r="N86">
        <f>Table1[[#This Row],[Sales Amount]]-Table1[[#This Row],[Cost Amount]]</f>
        <v>305.49000000000007</v>
      </c>
      <c r="O86" t="str">
        <f>"Q"&amp;ROUNDUP(MONTH(Table1[[#This Row],[Order Date]])/3,0)</f>
        <v>Q4</v>
      </c>
      <c r="P86" t="str">
        <f>TEXT(Table1[[#This Row],[Order Date]],"MMM")</f>
        <v>Nov</v>
      </c>
      <c r="Q86">
        <f>MONTH(Table1[[#This Row],[Order Date]])</f>
        <v>11</v>
      </c>
    </row>
    <row r="87" spans="1:17" x14ac:dyDescent="0.25">
      <c r="A87" t="s">
        <v>319</v>
      </c>
      <c r="B87" s="2">
        <v>46095</v>
      </c>
      <c r="C87">
        <v>2026</v>
      </c>
      <c r="D87" t="s">
        <v>54</v>
      </c>
      <c r="E87" t="s">
        <v>94</v>
      </c>
      <c r="F87" t="s">
        <v>215</v>
      </c>
      <c r="G87" t="s">
        <v>216</v>
      </c>
      <c r="H87" t="s">
        <v>51</v>
      </c>
      <c r="I87" t="s">
        <v>52</v>
      </c>
      <c r="J87">
        <v>6</v>
      </c>
      <c r="K87">
        <v>335.71</v>
      </c>
      <c r="L87">
        <v>1168.0899999999999</v>
      </c>
      <c r="M87">
        <f>Table1[[#This Row],[Quantity Sold]]*Table1[[#This Row],[Unit Price]]</f>
        <v>2014.2599999999998</v>
      </c>
      <c r="N87">
        <f>Table1[[#This Row],[Sales Amount]]-Table1[[#This Row],[Cost Amount]]</f>
        <v>846.16999999999985</v>
      </c>
      <c r="O87" t="str">
        <f>"Q"&amp;ROUNDUP(MONTH(Table1[[#This Row],[Order Date]])/3,0)</f>
        <v>Q1</v>
      </c>
      <c r="P87" t="str">
        <f>TEXT(Table1[[#This Row],[Order Date]],"MMM")</f>
        <v>Mar</v>
      </c>
      <c r="Q87">
        <f>MONTH(Table1[[#This Row],[Order Date]])</f>
        <v>3</v>
      </c>
    </row>
    <row r="88" spans="1:17" x14ac:dyDescent="0.25">
      <c r="A88" t="s">
        <v>320</v>
      </c>
      <c r="B88" s="2">
        <v>46247</v>
      </c>
      <c r="C88">
        <v>2026</v>
      </c>
      <c r="D88" t="s">
        <v>64</v>
      </c>
      <c r="E88" t="s">
        <v>32</v>
      </c>
      <c r="F88" t="s">
        <v>181</v>
      </c>
      <c r="G88" t="s">
        <v>182</v>
      </c>
      <c r="H88" t="s">
        <v>51</v>
      </c>
      <c r="I88" t="s">
        <v>42</v>
      </c>
      <c r="J88">
        <v>14</v>
      </c>
      <c r="K88">
        <v>438.42</v>
      </c>
      <c r="L88">
        <v>3866.28</v>
      </c>
      <c r="M88">
        <f>Table1[[#This Row],[Quantity Sold]]*Table1[[#This Row],[Unit Price]]</f>
        <v>6137.88</v>
      </c>
      <c r="N88">
        <f>Table1[[#This Row],[Sales Amount]]-Table1[[#This Row],[Cost Amount]]</f>
        <v>2271.6</v>
      </c>
      <c r="O88" t="str">
        <f>"Q"&amp;ROUNDUP(MONTH(Table1[[#This Row],[Order Date]])/3,0)</f>
        <v>Q3</v>
      </c>
      <c r="P88" t="str">
        <f>TEXT(Table1[[#This Row],[Order Date]],"MMM")</f>
        <v>Aug</v>
      </c>
      <c r="Q88">
        <f>MONTH(Table1[[#This Row],[Order Date]])</f>
        <v>8</v>
      </c>
    </row>
    <row r="89" spans="1:17" x14ac:dyDescent="0.25">
      <c r="A89" t="s">
        <v>321</v>
      </c>
      <c r="B89" s="2">
        <v>46364</v>
      </c>
      <c r="C89">
        <v>2026</v>
      </c>
      <c r="D89" t="s">
        <v>152</v>
      </c>
      <c r="E89" t="s">
        <v>322</v>
      </c>
      <c r="F89" t="s">
        <v>323</v>
      </c>
      <c r="G89" t="s">
        <v>324</v>
      </c>
      <c r="H89" t="s">
        <v>68</v>
      </c>
      <c r="I89" t="s">
        <v>52</v>
      </c>
      <c r="J89">
        <v>1</v>
      </c>
      <c r="K89">
        <v>451.39</v>
      </c>
      <c r="L89">
        <v>312.98</v>
      </c>
      <c r="M89">
        <f>Table1[[#This Row],[Quantity Sold]]*Table1[[#This Row],[Unit Price]]</f>
        <v>451.39</v>
      </c>
      <c r="N89">
        <f>Table1[[#This Row],[Sales Amount]]-Table1[[#This Row],[Cost Amount]]</f>
        <v>138.40999999999997</v>
      </c>
      <c r="O89" t="str">
        <f>"Q"&amp;ROUNDUP(MONTH(Table1[[#This Row],[Order Date]])/3,0)</f>
        <v>Q4</v>
      </c>
      <c r="P89" t="str">
        <f>TEXT(Table1[[#This Row],[Order Date]],"MMM")</f>
        <v>Dec</v>
      </c>
      <c r="Q89">
        <f>MONTH(Table1[[#This Row],[Order Date]])</f>
        <v>12</v>
      </c>
    </row>
    <row r="90" spans="1:17" x14ac:dyDescent="0.25">
      <c r="A90" t="s">
        <v>325</v>
      </c>
      <c r="B90" s="2">
        <v>46277</v>
      </c>
      <c r="C90">
        <v>2026</v>
      </c>
      <c r="D90" t="s">
        <v>239</v>
      </c>
      <c r="E90" t="s">
        <v>302</v>
      </c>
      <c r="F90" t="s">
        <v>72</v>
      </c>
      <c r="G90" t="s">
        <v>73</v>
      </c>
      <c r="H90" t="s">
        <v>41</v>
      </c>
      <c r="I90" t="s">
        <v>42</v>
      </c>
      <c r="J90">
        <v>11</v>
      </c>
      <c r="K90">
        <v>373.71</v>
      </c>
      <c r="L90">
        <v>2576.09</v>
      </c>
      <c r="M90">
        <f>Table1[[#This Row],[Quantity Sold]]*Table1[[#This Row],[Unit Price]]</f>
        <v>4110.8099999999995</v>
      </c>
      <c r="N90">
        <f>Table1[[#This Row],[Sales Amount]]-Table1[[#This Row],[Cost Amount]]</f>
        <v>1534.7199999999993</v>
      </c>
      <c r="O90" t="str">
        <f>"Q"&amp;ROUNDUP(MONTH(Table1[[#This Row],[Order Date]])/3,0)</f>
        <v>Q3</v>
      </c>
      <c r="P90" t="str">
        <f>TEXT(Table1[[#This Row],[Order Date]],"MMM")</f>
        <v>Sep</v>
      </c>
      <c r="Q90">
        <f>MONTH(Table1[[#This Row],[Order Date]])</f>
        <v>9</v>
      </c>
    </row>
    <row r="91" spans="1:17" x14ac:dyDescent="0.25">
      <c r="A91" t="s">
        <v>326</v>
      </c>
      <c r="B91" s="2">
        <v>46285</v>
      </c>
      <c r="C91">
        <v>2026</v>
      </c>
      <c r="D91" t="s">
        <v>99</v>
      </c>
      <c r="E91" t="s">
        <v>327</v>
      </c>
      <c r="F91" t="s">
        <v>61</v>
      </c>
      <c r="G91" t="s">
        <v>62</v>
      </c>
      <c r="H91" t="s">
        <v>22</v>
      </c>
      <c r="I91" t="s">
        <v>23</v>
      </c>
      <c r="J91">
        <v>18</v>
      </c>
      <c r="K91">
        <v>234.05</v>
      </c>
      <c r="L91">
        <v>2297.8000000000002</v>
      </c>
      <c r="M91">
        <f>Table1[[#This Row],[Quantity Sold]]*Table1[[#This Row],[Unit Price]]</f>
        <v>4212.9000000000005</v>
      </c>
      <c r="N91">
        <f>Table1[[#This Row],[Sales Amount]]-Table1[[#This Row],[Cost Amount]]</f>
        <v>1915.1000000000004</v>
      </c>
      <c r="O91" t="str">
        <f>"Q"&amp;ROUNDUP(MONTH(Table1[[#This Row],[Order Date]])/3,0)</f>
        <v>Q3</v>
      </c>
      <c r="P91" t="str">
        <f>TEXT(Table1[[#This Row],[Order Date]],"MMM")</f>
        <v>Sep</v>
      </c>
      <c r="Q91">
        <f>MONTH(Table1[[#This Row],[Order Date]])</f>
        <v>9</v>
      </c>
    </row>
    <row r="92" spans="1:17" x14ac:dyDescent="0.25">
      <c r="A92" t="s">
        <v>328</v>
      </c>
      <c r="B92" s="2">
        <v>46121</v>
      </c>
      <c r="C92">
        <v>2026</v>
      </c>
      <c r="D92" t="s">
        <v>64</v>
      </c>
      <c r="E92" t="s">
        <v>329</v>
      </c>
      <c r="F92" t="s">
        <v>215</v>
      </c>
      <c r="G92" t="s">
        <v>216</v>
      </c>
      <c r="H92" t="s">
        <v>51</v>
      </c>
      <c r="I92" t="s">
        <v>52</v>
      </c>
      <c r="J92">
        <v>14</v>
      </c>
      <c r="K92">
        <v>461</v>
      </c>
      <c r="L92">
        <v>4282.99</v>
      </c>
      <c r="M92">
        <f>Table1[[#This Row],[Quantity Sold]]*Table1[[#This Row],[Unit Price]]</f>
        <v>6454</v>
      </c>
      <c r="N92">
        <f>Table1[[#This Row],[Sales Amount]]-Table1[[#This Row],[Cost Amount]]</f>
        <v>2171.0100000000002</v>
      </c>
      <c r="O92" t="str">
        <f>"Q"&amp;ROUNDUP(MONTH(Table1[[#This Row],[Order Date]])/3,0)</f>
        <v>Q2</v>
      </c>
      <c r="P92" t="str">
        <f>TEXT(Table1[[#This Row],[Order Date]],"MMM")</f>
        <v>Apr</v>
      </c>
      <c r="Q92">
        <f>MONTH(Table1[[#This Row],[Order Date]])</f>
        <v>4</v>
      </c>
    </row>
    <row r="93" spans="1:17" x14ac:dyDescent="0.25">
      <c r="A93" t="s">
        <v>330</v>
      </c>
      <c r="B93" s="2">
        <v>46317</v>
      </c>
      <c r="C93">
        <v>2026</v>
      </c>
      <c r="D93" t="s">
        <v>142</v>
      </c>
      <c r="E93" t="s">
        <v>331</v>
      </c>
      <c r="F93" t="s">
        <v>27</v>
      </c>
      <c r="G93" t="s">
        <v>28</v>
      </c>
      <c r="H93" t="s">
        <v>22</v>
      </c>
      <c r="I93" t="s">
        <v>52</v>
      </c>
      <c r="J93">
        <v>14</v>
      </c>
      <c r="K93">
        <v>463.66</v>
      </c>
      <c r="L93">
        <v>4907.8</v>
      </c>
      <c r="M93">
        <f>Table1[[#This Row],[Quantity Sold]]*Table1[[#This Row],[Unit Price]]</f>
        <v>6491.2400000000007</v>
      </c>
      <c r="N93">
        <f>Table1[[#This Row],[Sales Amount]]-Table1[[#This Row],[Cost Amount]]</f>
        <v>1583.4400000000005</v>
      </c>
      <c r="O93" t="str">
        <f>"Q"&amp;ROUNDUP(MONTH(Table1[[#This Row],[Order Date]])/3,0)</f>
        <v>Q4</v>
      </c>
      <c r="P93" t="str">
        <f>TEXT(Table1[[#This Row],[Order Date]],"MMM")</f>
        <v>Oct</v>
      </c>
      <c r="Q93">
        <f>MONTH(Table1[[#This Row],[Order Date]])</f>
        <v>10</v>
      </c>
    </row>
    <row r="94" spans="1:17" x14ac:dyDescent="0.25">
      <c r="A94" t="s">
        <v>332</v>
      </c>
      <c r="B94" s="2">
        <v>46248</v>
      </c>
      <c r="C94">
        <v>2026</v>
      </c>
      <c r="D94" t="s">
        <v>333</v>
      </c>
      <c r="E94" t="s">
        <v>65</v>
      </c>
      <c r="F94" t="s">
        <v>163</v>
      </c>
      <c r="G94" t="s">
        <v>164</v>
      </c>
      <c r="H94" t="s">
        <v>68</v>
      </c>
      <c r="I94" t="s">
        <v>23</v>
      </c>
      <c r="J94">
        <v>9</v>
      </c>
      <c r="K94">
        <v>449.64</v>
      </c>
      <c r="L94">
        <v>2589.48</v>
      </c>
      <c r="M94">
        <f>Table1[[#This Row],[Quantity Sold]]*Table1[[#This Row],[Unit Price]]</f>
        <v>4046.7599999999998</v>
      </c>
      <c r="N94">
        <f>Table1[[#This Row],[Sales Amount]]-Table1[[#This Row],[Cost Amount]]</f>
        <v>1457.2799999999997</v>
      </c>
      <c r="O94" t="str">
        <f>"Q"&amp;ROUNDUP(MONTH(Table1[[#This Row],[Order Date]])/3,0)</f>
        <v>Q3</v>
      </c>
      <c r="P94" t="str">
        <f>TEXT(Table1[[#This Row],[Order Date]],"MMM")</f>
        <v>Aug</v>
      </c>
      <c r="Q94">
        <f>MONTH(Table1[[#This Row],[Order Date]])</f>
        <v>8</v>
      </c>
    </row>
    <row r="95" spans="1:17" x14ac:dyDescent="0.25">
      <c r="A95" t="s">
        <v>334</v>
      </c>
      <c r="B95" s="2">
        <v>46260</v>
      </c>
      <c r="C95">
        <v>2026</v>
      </c>
      <c r="D95" t="s">
        <v>265</v>
      </c>
      <c r="E95" t="s">
        <v>335</v>
      </c>
      <c r="F95" t="s">
        <v>313</v>
      </c>
      <c r="G95" t="s">
        <v>314</v>
      </c>
      <c r="H95" t="s">
        <v>68</v>
      </c>
      <c r="I95" t="s">
        <v>52</v>
      </c>
      <c r="J95">
        <v>13</v>
      </c>
      <c r="K95">
        <v>56.03</v>
      </c>
      <c r="L95">
        <v>551.46</v>
      </c>
      <c r="M95">
        <f>Table1[[#This Row],[Quantity Sold]]*Table1[[#This Row],[Unit Price]]</f>
        <v>728.39</v>
      </c>
      <c r="N95">
        <f>Table1[[#This Row],[Sales Amount]]-Table1[[#This Row],[Cost Amount]]</f>
        <v>176.92999999999995</v>
      </c>
      <c r="O95" t="str">
        <f>"Q"&amp;ROUNDUP(MONTH(Table1[[#This Row],[Order Date]])/3,0)</f>
        <v>Q3</v>
      </c>
      <c r="P95" t="str">
        <f>TEXT(Table1[[#This Row],[Order Date]],"MMM")</f>
        <v>Aug</v>
      </c>
      <c r="Q95">
        <f>MONTH(Table1[[#This Row],[Order Date]])</f>
        <v>8</v>
      </c>
    </row>
    <row r="96" spans="1:17" x14ac:dyDescent="0.25">
      <c r="A96" t="s">
        <v>336</v>
      </c>
      <c r="B96" s="2">
        <v>46085</v>
      </c>
      <c r="C96">
        <v>2026</v>
      </c>
      <c r="D96" t="s">
        <v>337</v>
      </c>
      <c r="E96" t="s">
        <v>338</v>
      </c>
      <c r="F96" t="s">
        <v>27</v>
      </c>
      <c r="G96" t="s">
        <v>28</v>
      </c>
      <c r="H96" t="s">
        <v>22</v>
      </c>
      <c r="I96" t="s">
        <v>29</v>
      </c>
      <c r="J96">
        <v>2</v>
      </c>
      <c r="K96">
        <v>45.83</v>
      </c>
      <c r="L96">
        <v>72.14</v>
      </c>
      <c r="M96">
        <f>Table1[[#This Row],[Quantity Sold]]*Table1[[#This Row],[Unit Price]]</f>
        <v>91.66</v>
      </c>
      <c r="N96">
        <f>Table1[[#This Row],[Sales Amount]]-Table1[[#This Row],[Cost Amount]]</f>
        <v>19.519999999999996</v>
      </c>
      <c r="O96" t="str">
        <f>"Q"&amp;ROUNDUP(MONTH(Table1[[#This Row],[Order Date]])/3,0)</f>
        <v>Q1</v>
      </c>
      <c r="P96" t="str">
        <f>TEXT(Table1[[#This Row],[Order Date]],"MMM")</f>
        <v>Mar</v>
      </c>
      <c r="Q96">
        <f>MONTH(Table1[[#This Row],[Order Date]])</f>
        <v>3</v>
      </c>
    </row>
    <row r="97" spans="1:17" x14ac:dyDescent="0.25">
      <c r="A97" t="s">
        <v>339</v>
      </c>
      <c r="B97" s="2">
        <v>46352</v>
      </c>
      <c r="C97">
        <v>2026</v>
      </c>
      <c r="D97" t="s">
        <v>25</v>
      </c>
      <c r="E97" t="s">
        <v>277</v>
      </c>
      <c r="F97" t="s">
        <v>186</v>
      </c>
      <c r="G97" t="s">
        <v>187</v>
      </c>
      <c r="H97" t="s">
        <v>97</v>
      </c>
      <c r="I97" t="s">
        <v>52</v>
      </c>
      <c r="J97">
        <v>19</v>
      </c>
      <c r="K97">
        <v>86.37</v>
      </c>
      <c r="L97">
        <v>1040.1099999999999</v>
      </c>
      <c r="M97">
        <f>Table1[[#This Row],[Quantity Sold]]*Table1[[#This Row],[Unit Price]]</f>
        <v>1641.0300000000002</v>
      </c>
      <c r="N97">
        <f>Table1[[#This Row],[Sales Amount]]-Table1[[#This Row],[Cost Amount]]</f>
        <v>600.9200000000003</v>
      </c>
      <c r="O97" t="str">
        <f>"Q"&amp;ROUNDUP(MONTH(Table1[[#This Row],[Order Date]])/3,0)</f>
        <v>Q4</v>
      </c>
      <c r="P97" t="str">
        <f>TEXT(Table1[[#This Row],[Order Date]],"MMM")</f>
        <v>Nov</v>
      </c>
      <c r="Q97">
        <f>MONTH(Table1[[#This Row],[Order Date]])</f>
        <v>11</v>
      </c>
    </row>
    <row r="98" spans="1:17" x14ac:dyDescent="0.25">
      <c r="A98" t="s">
        <v>340</v>
      </c>
      <c r="B98" s="2">
        <v>46094</v>
      </c>
      <c r="C98">
        <v>2026</v>
      </c>
      <c r="D98" t="s">
        <v>109</v>
      </c>
      <c r="E98" t="s">
        <v>327</v>
      </c>
      <c r="F98" t="s">
        <v>129</v>
      </c>
      <c r="G98" t="s">
        <v>130</v>
      </c>
      <c r="H98" t="s">
        <v>35</v>
      </c>
      <c r="I98" t="s">
        <v>23</v>
      </c>
      <c r="J98">
        <v>18</v>
      </c>
      <c r="K98">
        <v>309.36</v>
      </c>
      <c r="L98">
        <v>4132.3500000000004</v>
      </c>
      <c r="M98">
        <f>Table1[[#This Row],[Quantity Sold]]*Table1[[#This Row],[Unit Price]]</f>
        <v>5568.4800000000005</v>
      </c>
      <c r="N98">
        <f>Table1[[#This Row],[Sales Amount]]-Table1[[#This Row],[Cost Amount]]</f>
        <v>1436.13</v>
      </c>
      <c r="O98" t="str">
        <f>"Q"&amp;ROUNDUP(MONTH(Table1[[#This Row],[Order Date]])/3,0)</f>
        <v>Q1</v>
      </c>
      <c r="P98" t="str">
        <f>TEXT(Table1[[#This Row],[Order Date]],"MMM")</f>
        <v>Mar</v>
      </c>
      <c r="Q98">
        <f>MONTH(Table1[[#This Row],[Order Date]])</f>
        <v>3</v>
      </c>
    </row>
    <row r="99" spans="1:17" x14ac:dyDescent="0.25">
      <c r="A99" t="s">
        <v>341</v>
      </c>
      <c r="B99" s="2">
        <v>46263</v>
      </c>
      <c r="C99">
        <v>2026</v>
      </c>
      <c r="D99" t="s">
        <v>47</v>
      </c>
      <c r="E99" t="s">
        <v>342</v>
      </c>
      <c r="F99" t="s">
        <v>313</v>
      </c>
      <c r="G99" t="s">
        <v>314</v>
      </c>
      <c r="H99" t="s">
        <v>68</v>
      </c>
      <c r="I99" t="s">
        <v>42</v>
      </c>
      <c r="J99">
        <v>15</v>
      </c>
      <c r="K99">
        <v>236.93</v>
      </c>
      <c r="L99">
        <v>2668.48</v>
      </c>
      <c r="M99">
        <f>Table1[[#This Row],[Quantity Sold]]*Table1[[#This Row],[Unit Price]]</f>
        <v>3553.9500000000003</v>
      </c>
      <c r="N99">
        <f>Table1[[#This Row],[Sales Amount]]-Table1[[#This Row],[Cost Amount]]</f>
        <v>885.47000000000025</v>
      </c>
      <c r="O99" t="str">
        <f>"Q"&amp;ROUNDUP(MONTH(Table1[[#This Row],[Order Date]])/3,0)</f>
        <v>Q3</v>
      </c>
      <c r="P99" t="str">
        <f>TEXT(Table1[[#This Row],[Order Date]],"MMM")</f>
        <v>Aug</v>
      </c>
      <c r="Q99">
        <f>MONTH(Table1[[#This Row],[Order Date]])</f>
        <v>8</v>
      </c>
    </row>
    <row r="100" spans="1:17" x14ac:dyDescent="0.25">
      <c r="A100" t="s">
        <v>343</v>
      </c>
      <c r="B100" s="2">
        <v>46377</v>
      </c>
      <c r="C100">
        <v>2026</v>
      </c>
      <c r="D100" t="s">
        <v>86</v>
      </c>
      <c r="E100" t="s">
        <v>344</v>
      </c>
      <c r="F100" t="s">
        <v>190</v>
      </c>
      <c r="G100" t="s">
        <v>191</v>
      </c>
      <c r="H100" t="s">
        <v>35</v>
      </c>
      <c r="I100" t="s">
        <v>52</v>
      </c>
      <c r="J100">
        <v>1</v>
      </c>
      <c r="K100">
        <v>128.09</v>
      </c>
      <c r="L100">
        <v>79.77</v>
      </c>
      <c r="M100">
        <f>Table1[[#This Row],[Quantity Sold]]*Table1[[#This Row],[Unit Price]]</f>
        <v>128.09</v>
      </c>
      <c r="N100">
        <f>Table1[[#This Row],[Sales Amount]]-Table1[[#This Row],[Cost Amount]]</f>
        <v>48.320000000000007</v>
      </c>
      <c r="O100" t="str">
        <f>"Q"&amp;ROUNDUP(MONTH(Table1[[#This Row],[Order Date]])/3,0)</f>
        <v>Q4</v>
      </c>
      <c r="P100" t="str">
        <f>TEXT(Table1[[#This Row],[Order Date]],"MMM")</f>
        <v>Dec</v>
      </c>
      <c r="Q100">
        <f>MONTH(Table1[[#This Row],[Order Date]])</f>
        <v>12</v>
      </c>
    </row>
    <row r="101" spans="1:17" x14ac:dyDescent="0.25">
      <c r="A101" t="s">
        <v>345</v>
      </c>
      <c r="B101" s="2">
        <v>46196</v>
      </c>
      <c r="C101">
        <v>2026</v>
      </c>
      <c r="D101" t="s">
        <v>346</v>
      </c>
      <c r="E101" t="s">
        <v>245</v>
      </c>
      <c r="F101" t="s">
        <v>347</v>
      </c>
      <c r="G101" t="s">
        <v>348</v>
      </c>
      <c r="H101" t="s">
        <v>68</v>
      </c>
      <c r="I101" t="s">
        <v>23</v>
      </c>
      <c r="J101">
        <v>6</v>
      </c>
      <c r="K101">
        <v>322.10000000000002</v>
      </c>
      <c r="L101">
        <v>1229.6600000000001</v>
      </c>
      <c r="M101">
        <f>Table1[[#This Row],[Quantity Sold]]*Table1[[#This Row],[Unit Price]]</f>
        <v>1932.6000000000001</v>
      </c>
      <c r="N101">
        <f>Table1[[#This Row],[Sales Amount]]-Table1[[#This Row],[Cost Amount]]</f>
        <v>702.94</v>
      </c>
      <c r="O101" t="str">
        <f>"Q"&amp;ROUNDUP(MONTH(Table1[[#This Row],[Order Date]])/3,0)</f>
        <v>Q2</v>
      </c>
      <c r="P101" t="str">
        <f>TEXT(Table1[[#This Row],[Order Date]],"MMM")</f>
        <v>Jun</v>
      </c>
      <c r="Q101">
        <f>MONTH(Table1[[#This Row],[Order Date]])</f>
        <v>6</v>
      </c>
    </row>
    <row r="102" spans="1:17" x14ac:dyDescent="0.25">
      <c r="A102" t="s">
        <v>349</v>
      </c>
      <c r="B102" s="2">
        <v>46153</v>
      </c>
      <c r="C102">
        <v>2026</v>
      </c>
      <c r="D102" t="s">
        <v>115</v>
      </c>
      <c r="E102" t="s">
        <v>350</v>
      </c>
      <c r="F102" t="s">
        <v>163</v>
      </c>
      <c r="G102" t="s">
        <v>164</v>
      </c>
      <c r="H102" t="s">
        <v>68</v>
      </c>
      <c r="I102" t="s">
        <v>42</v>
      </c>
      <c r="J102">
        <v>4</v>
      </c>
      <c r="K102">
        <v>197.72</v>
      </c>
      <c r="L102">
        <v>478.36</v>
      </c>
      <c r="M102">
        <f>Table1[[#This Row],[Quantity Sold]]*Table1[[#This Row],[Unit Price]]</f>
        <v>790.88</v>
      </c>
      <c r="N102">
        <f>Table1[[#This Row],[Sales Amount]]-Table1[[#This Row],[Cost Amount]]</f>
        <v>312.52</v>
      </c>
      <c r="O102" t="str">
        <f>"Q"&amp;ROUNDUP(MONTH(Table1[[#This Row],[Order Date]])/3,0)</f>
        <v>Q2</v>
      </c>
      <c r="P102" t="str">
        <f>TEXT(Table1[[#This Row],[Order Date]],"MMM")</f>
        <v>May</v>
      </c>
      <c r="Q102">
        <f>MONTH(Table1[[#This Row],[Order Date]])</f>
        <v>5</v>
      </c>
    </row>
    <row r="103" spans="1:17" x14ac:dyDescent="0.25">
      <c r="A103" t="s">
        <v>351</v>
      </c>
      <c r="B103" s="2">
        <v>46041</v>
      </c>
      <c r="C103">
        <v>2026</v>
      </c>
      <c r="D103" t="s">
        <v>352</v>
      </c>
      <c r="E103" t="s">
        <v>353</v>
      </c>
      <c r="F103" t="s">
        <v>101</v>
      </c>
      <c r="G103" t="s">
        <v>102</v>
      </c>
      <c r="H103" t="s">
        <v>22</v>
      </c>
      <c r="I103" t="s">
        <v>52</v>
      </c>
      <c r="J103">
        <v>15</v>
      </c>
      <c r="K103">
        <v>132.94999999999999</v>
      </c>
      <c r="L103">
        <v>1248.17</v>
      </c>
      <c r="M103">
        <f>Table1[[#This Row],[Quantity Sold]]*Table1[[#This Row],[Unit Price]]</f>
        <v>1994.2499999999998</v>
      </c>
      <c r="N103">
        <f>Table1[[#This Row],[Sales Amount]]-Table1[[#This Row],[Cost Amount]]</f>
        <v>746.0799999999997</v>
      </c>
      <c r="O103" t="str">
        <f>"Q"&amp;ROUNDUP(MONTH(Table1[[#This Row],[Order Date]])/3,0)</f>
        <v>Q1</v>
      </c>
      <c r="P103" t="str">
        <f>TEXT(Table1[[#This Row],[Order Date]],"MMM")</f>
        <v>Jan</v>
      </c>
      <c r="Q103">
        <f>MONTH(Table1[[#This Row],[Order Date]])</f>
        <v>1</v>
      </c>
    </row>
    <row r="104" spans="1:17" x14ac:dyDescent="0.25">
      <c r="A104" t="s">
        <v>354</v>
      </c>
      <c r="B104" s="2">
        <v>46265</v>
      </c>
      <c r="C104">
        <v>2026</v>
      </c>
      <c r="D104" t="s">
        <v>109</v>
      </c>
      <c r="E104" t="s">
        <v>355</v>
      </c>
      <c r="F104" t="s">
        <v>159</v>
      </c>
      <c r="G104" t="s">
        <v>160</v>
      </c>
      <c r="H104" t="s">
        <v>51</v>
      </c>
      <c r="I104" t="s">
        <v>23</v>
      </c>
      <c r="J104">
        <v>17</v>
      </c>
      <c r="K104">
        <v>481.04</v>
      </c>
      <c r="L104">
        <v>5518.53</v>
      </c>
      <c r="M104">
        <f>Table1[[#This Row],[Quantity Sold]]*Table1[[#This Row],[Unit Price]]</f>
        <v>8177.68</v>
      </c>
      <c r="N104">
        <f>Table1[[#This Row],[Sales Amount]]-Table1[[#This Row],[Cost Amount]]</f>
        <v>2659.1500000000005</v>
      </c>
      <c r="O104" t="str">
        <f>"Q"&amp;ROUNDUP(MONTH(Table1[[#This Row],[Order Date]])/3,0)</f>
        <v>Q3</v>
      </c>
      <c r="P104" t="str">
        <f>TEXT(Table1[[#This Row],[Order Date]],"MMM")</f>
        <v>Aug</v>
      </c>
      <c r="Q104">
        <f>MONTH(Table1[[#This Row],[Order Date]])</f>
        <v>8</v>
      </c>
    </row>
    <row r="105" spans="1:17" x14ac:dyDescent="0.25">
      <c r="A105" t="s">
        <v>356</v>
      </c>
      <c r="B105" s="2">
        <v>46136</v>
      </c>
      <c r="C105">
        <v>2026</v>
      </c>
      <c r="D105" t="s">
        <v>357</v>
      </c>
      <c r="E105" t="s">
        <v>358</v>
      </c>
      <c r="F105" t="s">
        <v>134</v>
      </c>
      <c r="G105" t="s">
        <v>135</v>
      </c>
      <c r="H105" t="s">
        <v>22</v>
      </c>
      <c r="I105" t="s">
        <v>42</v>
      </c>
      <c r="J105">
        <v>4</v>
      </c>
      <c r="K105">
        <v>404.46</v>
      </c>
      <c r="L105">
        <v>998</v>
      </c>
      <c r="M105">
        <f>Table1[[#This Row],[Quantity Sold]]*Table1[[#This Row],[Unit Price]]</f>
        <v>1617.84</v>
      </c>
      <c r="N105">
        <f>Table1[[#This Row],[Sales Amount]]-Table1[[#This Row],[Cost Amount]]</f>
        <v>619.83999999999992</v>
      </c>
      <c r="O105" t="str">
        <f>"Q"&amp;ROUNDUP(MONTH(Table1[[#This Row],[Order Date]])/3,0)</f>
        <v>Q2</v>
      </c>
      <c r="P105" t="str">
        <f>TEXT(Table1[[#This Row],[Order Date]],"MMM")</f>
        <v>Apr</v>
      </c>
      <c r="Q105">
        <f>MONTH(Table1[[#This Row],[Order Date]])</f>
        <v>4</v>
      </c>
    </row>
    <row r="106" spans="1:17" x14ac:dyDescent="0.25">
      <c r="A106" t="s">
        <v>359</v>
      </c>
      <c r="B106" s="2">
        <v>46109</v>
      </c>
      <c r="C106">
        <v>2026</v>
      </c>
      <c r="D106" t="s">
        <v>147</v>
      </c>
      <c r="E106" t="s">
        <v>360</v>
      </c>
      <c r="F106" t="s">
        <v>163</v>
      </c>
      <c r="G106" t="s">
        <v>164</v>
      </c>
      <c r="H106" t="s">
        <v>68</v>
      </c>
      <c r="I106" t="s">
        <v>52</v>
      </c>
      <c r="J106">
        <v>3</v>
      </c>
      <c r="K106">
        <v>65.13</v>
      </c>
      <c r="L106">
        <v>153.35</v>
      </c>
      <c r="M106">
        <f>Table1[[#This Row],[Quantity Sold]]*Table1[[#This Row],[Unit Price]]</f>
        <v>195.39</v>
      </c>
      <c r="N106">
        <f>Table1[[#This Row],[Sales Amount]]-Table1[[#This Row],[Cost Amount]]</f>
        <v>42.039999999999992</v>
      </c>
      <c r="O106" t="str">
        <f>"Q"&amp;ROUNDUP(MONTH(Table1[[#This Row],[Order Date]])/3,0)</f>
        <v>Q1</v>
      </c>
      <c r="P106" t="str">
        <f>TEXT(Table1[[#This Row],[Order Date]],"MMM")</f>
        <v>Mar</v>
      </c>
      <c r="Q106">
        <f>MONTH(Table1[[#This Row],[Order Date]])</f>
        <v>3</v>
      </c>
    </row>
    <row r="107" spans="1:17" x14ac:dyDescent="0.25">
      <c r="A107" t="s">
        <v>361</v>
      </c>
      <c r="B107" s="2">
        <v>46371</v>
      </c>
      <c r="C107">
        <v>2026</v>
      </c>
      <c r="D107" t="s">
        <v>362</v>
      </c>
      <c r="E107" t="s">
        <v>363</v>
      </c>
      <c r="F107" t="s">
        <v>347</v>
      </c>
      <c r="G107" t="s">
        <v>348</v>
      </c>
      <c r="H107" t="s">
        <v>68</v>
      </c>
      <c r="I107" t="s">
        <v>29</v>
      </c>
      <c r="J107">
        <v>3</v>
      </c>
      <c r="K107">
        <v>102.24</v>
      </c>
      <c r="L107">
        <v>177.14</v>
      </c>
      <c r="M107">
        <f>Table1[[#This Row],[Quantity Sold]]*Table1[[#This Row],[Unit Price]]</f>
        <v>306.71999999999997</v>
      </c>
      <c r="N107">
        <f>Table1[[#This Row],[Sales Amount]]-Table1[[#This Row],[Cost Amount]]</f>
        <v>129.57999999999998</v>
      </c>
      <c r="O107" t="str">
        <f>"Q"&amp;ROUNDUP(MONTH(Table1[[#This Row],[Order Date]])/3,0)</f>
        <v>Q4</v>
      </c>
      <c r="P107" t="str">
        <f>TEXT(Table1[[#This Row],[Order Date]],"MMM")</f>
        <v>Dec</v>
      </c>
      <c r="Q107">
        <f>MONTH(Table1[[#This Row],[Order Date]])</f>
        <v>12</v>
      </c>
    </row>
    <row r="108" spans="1:17" x14ac:dyDescent="0.25">
      <c r="A108" t="s">
        <v>364</v>
      </c>
      <c r="B108" s="2">
        <v>46288</v>
      </c>
      <c r="C108">
        <v>2026</v>
      </c>
      <c r="D108" t="s">
        <v>365</v>
      </c>
      <c r="E108" t="s">
        <v>366</v>
      </c>
      <c r="F108" t="s">
        <v>215</v>
      </c>
      <c r="G108" t="s">
        <v>216</v>
      </c>
      <c r="H108" t="s">
        <v>51</v>
      </c>
      <c r="I108" t="s">
        <v>23</v>
      </c>
      <c r="J108">
        <v>10</v>
      </c>
      <c r="K108">
        <v>376.59</v>
      </c>
      <c r="L108">
        <v>3051.03</v>
      </c>
      <c r="M108">
        <f>Table1[[#This Row],[Quantity Sold]]*Table1[[#This Row],[Unit Price]]</f>
        <v>3765.8999999999996</v>
      </c>
      <c r="N108">
        <f>Table1[[#This Row],[Sales Amount]]-Table1[[#This Row],[Cost Amount]]</f>
        <v>714.86999999999944</v>
      </c>
      <c r="O108" t="str">
        <f>"Q"&amp;ROUNDUP(MONTH(Table1[[#This Row],[Order Date]])/3,0)</f>
        <v>Q3</v>
      </c>
      <c r="P108" t="str">
        <f>TEXT(Table1[[#This Row],[Order Date]],"MMM")</f>
        <v>Sep</v>
      </c>
      <c r="Q108">
        <f>MONTH(Table1[[#This Row],[Order Date]])</f>
        <v>9</v>
      </c>
    </row>
    <row r="109" spans="1:17" x14ac:dyDescent="0.25">
      <c r="A109" t="s">
        <v>367</v>
      </c>
      <c r="B109" s="2">
        <v>46048</v>
      </c>
      <c r="C109">
        <v>2026</v>
      </c>
      <c r="D109" t="s">
        <v>239</v>
      </c>
      <c r="E109" t="s">
        <v>368</v>
      </c>
      <c r="F109" t="s">
        <v>72</v>
      </c>
      <c r="G109" t="s">
        <v>73</v>
      </c>
      <c r="H109" t="s">
        <v>41</v>
      </c>
      <c r="I109" t="s">
        <v>42</v>
      </c>
      <c r="J109">
        <v>9</v>
      </c>
      <c r="K109">
        <v>261.70999999999998</v>
      </c>
      <c r="L109">
        <v>1643.71</v>
      </c>
      <c r="M109">
        <f>Table1[[#This Row],[Quantity Sold]]*Table1[[#This Row],[Unit Price]]</f>
        <v>2355.39</v>
      </c>
      <c r="N109">
        <f>Table1[[#This Row],[Sales Amount]]-Table1[[#This Row],[Cost Amount]]</f>
        <v>711.67999999999984</v>
      </c>
      <c r="O109" t="str">
        <f>"Q"&amp;ROUNDUP(MONTH(Table1[[#This Row],[Order Date]])/3,0)</f>
        <v>Q1</v>
      </c>
      <c r="P109" t="str">
        <f>TEXT(Table1[[#This Row],[Order Date]],"MMM")</f>
        <v>Jan</v>
      </c>
      <c r="Q109">
        <f>MONTH(Table1[[#This Row],[Order Date]])</f>
        <v>1</v>
      </c>
    </row>
    <row r="110" spans="1:17" x14ac:dyDescent="0.25">
      <c r="A110" t="s">
        <v>369</v>
      </c>
      <c r="B110" s="2">
        <v>46293</v>
      </c>
      <c r="C110">
        <v>2026</v>
      </c>
      <c r="D110" t="s">
        <v>157</v>
      </c>
      <c r="E110" t="s">
        <v>370</v>
      </c>
      <c r="F110" t="s">
        <v>159</v>
      </c>
      <c r="G110" t="s">
        <v>160</v>
      </c>
      <c r="H110" t="s">
        <v>51</v>
      </c>
      <c r="I110" t="s">
        <v>29</v>
      </c>
      <c r="J110">
        <v>4</v>
      </c>
      <c r="K110">
        <v>273.18</v>
      </c>
      <c r="L110">
        <v>660.65</v>
      </c>
      <c r="M110">
        <f>Table1[[#This Row],[Quantity Sold]]*Table1[[#This Row],[Unit Price]]</f>
        <v>1092.72</v>
      </c>
      <c r="N110">
        <f>Table1[[#This Row],[Sales Amount]]-Table1[[#This Row],[Cost Amount]]</f>
        <v>432.07000000000005</v>
      </c>
      <c r="O110" t="str">
        <f>"Q"&amp;ROUNDUP(MONTH(Table1[[#This Row],[Order Date]])/3,0)</f>
        <v>Q3</v>
      </c>
      <c r="P110" t="str">
        <f>TEXT(Table1[[#This Row],[Order Date]],"MMM")</f>
        <v>Sep</v>
      </c>
      <c r="Q110">
        <f>MONTH(Table1[[#This Row],[Order Date]])</f>
        <v>9</v>
      </c>
    </row>
    <row r="111" spans="1:17" x14ac:dyDescent="0.25">
      <c r="A111" t="s">
        <v>371</v>
      </c>
      <c r="B111" s="2">
        <v>46073</v>
      </c>
      <c r="C111">
        <v>2026</v>
      </c>
      <c r="D111" t="s">
        <v>227</v>
      </c>
      <c r="E111" t="s">
        <v>212</v>
      </c>
      <c r="F111" t="s">
        <v>169</v>
      </c>
      <c r="G111" t="s">
        <v>170</v>
      </c>
      <c r="H111" t="s">
        <v>22</v>
      </c>
      <c r="I111" t="s">
        <v>52</v>
      </c>
      <c r="J111">
        <v>13</v>
      </c>
      <c r="K111">
        <v>284.56</v>
      </c>
      <c r="L111">
        <v>2324</v>
      </c>
      <c r="M111">
        <f>Table1[[#This Row],[Quantity Sold]]*Table1[[#This Row],[Unit Price]]</f>
        <v>3699.28</v>
      </c>
      <c r="N111">
        <f>Table1[[#This Row],[Sales Amount]]-Table1[[#This Row],[Cost Amount]]</f>
        <v>1375.2800000000002</v>
      </c>
      <c r="O111" t="str">
        <f>"Q"&amp;ROUNDUP(MONTH(Table1[[#This Row],[Order Date]])/3,0)</f>
        <v>Q1</v>
      </c>
      <c r="P111" t="str">
        <f>TEXT(Table1[[#This Row],[Order Date]],"MMM")</f>
        <v>Feb</v>
      </c>
      <c r="Q111">
        <f>MONTH(Table1[[#This Row],[Order Date]])</f>
        <v>2</v>
      </c>
    </row>
    <row r="112" spans="1:17" x14ac:dyDescent="0.25">
      <c r="A112" t="s">
        <v>372</v>
      </c>
      <c r="B112" s="2">
        <v>46116</v>
      </c>
      <c r="C112">
        <v>2026</v>
      </c>
      <c r="D112" t="s">
        <v>64</v>
      </c>
      <c r="E112" t="s">
        <v>373</v>
      </c>
      <c r="F112" t="s">
        <v>149</v>
      </c>
      <c r="G112" t="s">
        <v>150</v>
      </c>
      <c r="H112" t="s">
        <v>22</v>
      </c>
      <c r="I112" t="s">
        <v>42</v>
      </c>
      <c r="J112">
        <v>5</v>
      </c>
      <c r="K112">
        <v>443.57</v>
      </c>
      <c r="L112">
        <v>1580.24</v>
      </c>
      <c r="M112">
        <f>Table1[[#This Row],[Quantity Sold]]*Table1[[#This Row],[Unit Price]]</f>
        <v>2217.85</v>
      </c>
      <c r="N112">
        <f>Table1[[#This Row],[Sales Amount]]-Table1[[#This Row],[Cost Amount]]</f>
        <v>637.6099999999999</v>
      </c>
      <c r="O112" t="str">
        <f>"Q"&amp;ROUNDUP(MONTH(Table1[[#This Row],[Order Date]])/3,0)</f>
        <v>Q2</v>
      </c>
      <c r="P112" t="str">
        <f>TEXT(Table1[[#This Row],[Order Date]],"MMM")</f>
        <v>Apr</v>
      </c>
      <c r="Q112">
        <f>MONTH(Table1[[#This Row],[Order Date]])</f>
        <v>4</v>
      </c>
    </row>
    <row r="113" spans="1:17" x14ac:dyDescent="0.25">
      <c r="A113" t="s">
        <v>374</v>
      </c>
      <c r="B113" s="2">
        <v>46347</v>
      </c>
      <c r="C113">
        <v>2026</v>
      </c>
      <c r="D113" t="s">
        <v>209</v>
      </c>
      <c r="E113" t="s">
        <v>375</v>
      </c>
      <c r="F113" t="s">
        <v>72</v>
      </c>
      <c r="G113" t="s">
        <v>73</v>
      </c>
      <c r="H113" t="s">
        <v>41</v>
      </c>
      <c r="I113" t="s">
        <v>42</v>
      </c>
      <c r="J113">
        <v>17</v>
      </c>
      <c r="K113">
        <v>448.85</v>
      </c>
      <c r="L113">
        <v>4859.8</v>
      </c>
      <c r="M113">
        <f>Table1[[#This Row],[Quantity Sold]]*Table1[[#This Row],[Unit Price]]</f>
        <v>7630.4500000000007</v>
      </c>
      <c r="N113">
        <f>Table1[[#This Row],[Sales Amount]]-Table1[[#This Row],[Cost Amount]]</f>
        <v>2770.6500000000005</v>
      </c>
      <c r="O113" t="str">
        <f>"Q"&amp;ROUNDUP(MONTH(Table1[[#This Row],[Order Date]])/3,0)</f>
        <v>Q4</v>
      </c>
      <c r="P113" t="str">
        <f>TEXT(Table1[[#This Row],[Order Date]],"MMM")</f>
        <v>Nov</v>
      </c>
      <c r="Q113">
        <f>MONTH(Table1[[#This Row],[Order Date]])</f>
        <v>11</v>
      </c>
    </row>
    <row r="114" spans="1:17" x14ac:dyDescent="0.25">
      <c r="A114" t="s">
        <v>376</v>
      </c>
      <c r="B114" s="2">
        <v>46043</v>
      </c>
      <c r="C114">
        <v>2026</v>
      </c>
      <c r="D114" t="s">
        <v>377</v>
      </c>
      <c r="E114" t="s">
        <v>289</v>
      </c>
      <c r="F114" t="s">
        <v>144</v>
      </c>
      <c r="G114" t="s">
        <v>145</v>
      </c>
      <c r="H114" t="s">
        <v>97</v>
      </c>
      <c r="I114" t="s">
        <v>29</v>
      </c>
      <c r="J114">
        <v>12</v>
      </c>
      <c r="K114">
        <v>442.08</v>
      </c>
      <c r="L114">
        <v>4086.43</v>
      </c>
      <c r="M114">
        <f>Table1[[#This Row],[Quantity Sold]]*Table1[[#This Row],[Unit Price]]</f>
        <v>5304.96</v>
      </c>
      <c r="N114">
        <f>Table1[[#This Row],[Sales Amount]]-Table1[[#This Row],[Cost Amount]]</f>
        <v>1218.5300000000002</v>
      </c>
      <c r="O114" t="str">
        <f>"Q"&amp;ROUNDUP(MONTH(Table1[[#This Row],[Order Date]])/3,0)</f>
        <v>Q1</v>
      </c>
      <c r="P114" t="str">
        <f>TEXT(Table1[[#This Row],[Order Date]],"MMM")</f>
        <v>Jan</v>
      </c>
      <c r="Q114">
        <f>MONTH(Table1[[#This Row],[Order Date]])</f>
        <v>1</v>
      </c>
    </row>
    <row r="115" spans="1:17" x14ac:dyDescent="0.25">
      <c r="A115" t="s">
        <v>378</v>
      </c>
      <c r="B115" s="2">
        <v>46158</v>
      </c>
      <c r="C115">
        <v>2026</v>
      </c>
      <c r="D115" t="s">
        <v>379</v>
      </c>
      <c r="E115" t="s">
        <v>380</v>
      </c>
      <c r="F115" t="s">
        <v>72</v>
      </c>
      <c r="G115" t="s">
        <v>73</v>
      </c>
      <c r="H115" t="s">
        <v>41</v>
      </c>
      <c r="I115" t="s">
        <v>42</v>
      </c>
      <c r="J115">
        <v>6</v>
      </c>
      <c r="K115">
        <v>435.98</v>
      </c>
      <c r="L115">
        <v>2027.93</v>
      </c>
      <c r="M115">
        <f>Table1[[#This Row],[Quantity Sold]]*Table1[[#This Row],[Unit Price]]</f>
        <v>2615.88</v>
      </c>
      <c r="N115">
        <f>Table1[[#This Row],[Sales Amount]]-Table1[[#This Row],[Cost Amount]]</f>
        <v>587.95000000000005</v>
      </c>
      <c r="O115" t="str">
        <f>"Q"&amp;ROUNDUP(MONTH(Table1[[#This Row],[Order Date]])/3,0)</f>
        <v>Q2</v>
      </c>
      <c r="P115" t="str">
        <f>TEXT(Table1[[#This Row],[Order Date]],"MMM")</f>
        <v>May</v>
      </c>
      <c r="Q115">
        <f>MONTH(Table1[[#This Row],[Order Date]])</f>
        <v>5</v>
      </c>
    </row>
    <row r="116" spans="1:17" x14ac:dyDescent="0.25">
      <c r="A116" t="s">
        <v>381</v>
      </c>
      <c r="B116" s="2">
        <v>46138</v>
      </c>
      <c r="C116">
        <v>2026</v>
      </c>
      <c r="D116" t="s">
        <v>288</v>
      </c>
      <c r="E116" t="s">
        <v>382</v>
      </c>
      <c r="F116" t="s">
        <v>383</v>
      </c>
      <c r="G116" t="s">
        <v>384</v>
      </c>
      <c r="H116" t="s">
        <v>220</v>
      </c>
      <c r="I116" t="s">
        <v>42</v>
      </c>
      <c r="J116">
        <v>14</v>
      </c>
      <c r="K116">
        <v>220.19</v>
      </c>
      <c r="L116">
        <v>1946.38</v>
      </c>
      <c r="M116">
        <f>Table1[[#This Row],[Quantity Sold]]*Table1[[#This Row],[Unit Price]]</f>
        <v>3082.66</v>
      </c>
      <c r="N116">
        <f>Table1[[#This Row],[Sales Amount]]-Table1[[#This Row],[Cost Amount]]</f>
        <v>1136.2799999999997</v>
      </c>
      <c r="O116" t="str">
        <f>"Q"&amp;ROUNDUP(MONTH(Table1[[#This Row],[Order Date]])/3,0)</f>
        <v>Q2</v>
      </c>
      <c r="P116" t="str">
        <f>TEXT(Table1[[#This Row],[Order Date]],"MMM")</f>
        <v>Apr</v>
      </c>
      <c r="Q116">
        <f>MONTH(Table1[[#This Row],[Order Date]])</f>
        <v>4</v>
      </c>
    </row>
    <row r="117" spans="1:17" x14ac:dyDescent="0.25">
      <c r="A117" t="s">
        <v>385</v>
      </c>
      <c r="B117" s="2">
        <v>46313</v>
      </c>
      <c r="C117">
        <v>2026</v>
      </c>
      <c r="D117" t="s">
        <v>200</v>
      </c>
      <c r="E117" t="s">
        <v>386</v>
      </c>
      <c r="F117" t="s">
        <v>72</v>
      </c>
      <c r="G117" t="s">
        <v>73</v>
      </c>
      <c r="H117" t="s">
        <v>41</v>
      </c>
      <c r="I117" t="s">
        <v>42</v>
      </c>
      <c r="J117">
        <v>12</v>
      </c>
      <c r="K117">
        <v>229.95</v>
      </c>
      <c r="L117">
        <v>1782.04</v>
      </c>
      <c r="M117">
        <f>Table1[[#This Row],[Quantity Sold]]*Table1[[#This Row],[Unit Price]]</f>
        <v>2759.3999999999996</v>
      </c>
      <c r="N117">
        <f>Table1[[#This Row],[Sales Amount]]-Table1[[#This Row],[Cost Amount]]</f>
        <v>977.35999999999967</v>
      </c>
      <c r="O117" t="str">
        <f>"Q"&amp;ROUNDUP(MONTH(Table1[[#This Row],[Order Date]])/3,0)</f>
        <v>Q4</v>
      </c>
      <c r="P117" t="str">
        <f>TEXT(Table1[[#This Row],[Order Date]],"MMM")</f>
        <v>Oct</v>
      </c>
      <c r="Q117">
        <f>MONTH(Table1[[#This Row],[Order Date]])</f>
        <v>10</v>
      </c>
    </row>
    <row r="118" spans="1:17" x14ac:dyDescent="0.25">
      <c r="A118" t="s">
        <v>387</v>
      </c>
      <c r="B118" s="2">
        <v>46040</v>
      </c>
      <c r="C118">
        <v>2026</v>
      </c>
      <c r="D118" t="s">
        <v>180</v>
      </c>
      <c r="E118" t="s">
        <v>388</v>
      </c>
      <c r="F118" t="s">
        <v>154</v>
      </c>
      <c r="G118" t="s">
        <v>155</v>
      </c>
      <c r="H118" t="s">
        <v>68</v>
      </c>
      <c r="I118" t="s">
        <v>23</v>
      </c>
      <c r="J118">
        <v>15</v>
      </c>
      <c r="K118">
        <v>224.53</v>
      </c>
      <c r="L118">
        <v>2022.54</v>
      </c>
      <c r="M118">
        <f>Table1[[#This Row],[Quantity Sold]]*Table1[[#This Row],[Unit Price]]</f>
        <v>3367.95</v>
      </c>
      <c r="N118">
        <f>Table1[[#This Row],[Sales Amount]]-Table1[[#This Row],[Cost Amount]]</f>
        <v>1345.4099999999999</v>
      </c>
      <c r="O118" t="str">
        <f>"Q"&amp;ROUNDUP(MONTH(Table1[[#This Row],[Order Date]])/3,0)</f>
        <v>Q1</v>
      </c>
      <c r="P118" t="str">
        <f>TEXT(Table1[[#This Row],[Order Date]],"MMM")</f>
        <v>Jan</v>
      </c>
      <c r="Q118">
        <f>MONTH(Table1[[#This Row],[Order Date]])</f>
        <v>1</v>
      </c>
    </row>
    <row r="119" spans="1:17" x14ac:dyDescent="0.25">
      <c r="A119" t="s">
        <v>389</v>
      </c>
      <c r="B119" s="2">
        <v>46138</v>
      </c>
      <c r="C119">
        <v>2026</v>
      </c>
      <c r="D119" t="s">
        <v>365</v>
      </c>
      <c r="E119" t="s">
        <v>390</v>
      </c>
      <c r="F119" t="s">
        <v>91</v>
      </c>
      <c r="G119" t="s">
        <v>92</v>
      </c>
      <c r="H119" t="s">
        <v>68</v>
      </c>
      <c r="I119" t="s">
        <v>52</v>
      </c>
      <c r="J119">
        <v>9</v>
      </c>
      <c r="K119">
        <v>305.23</v>
      </c>
      <c r="L119">
        <v>1991.26</v>
      </c>
      <c r="M119">
        <f>Table1[[#This Row],[Quantity Sold]]*Table1[[#This Row],[Unit Price]]</f>
        <v>2747.07</v>
      </c>
      <c r="N119">
        <f>Table1[[#This Row],[Sales Amount]]-Table1[[#This Row],[Cost Amount]]</f>
        <v>755.81000000000017</v>
      </c>
      <c r="O119" t="str">
        <f>"Q"&amp;ROUNDUP(MONTH(Table1[[#This Row],[Order Date]])/3,0)</f>
        <v>Q2</v>
      </c>
      <c r="P119" t="str">
        <f>TEXT(Table1[[#This Row],[Order Date]],"MMM")</f>
        <v>Apr</v>
      </c>
      <c r="Q119">
        <f>MONTH(Table1[[#This Row],[Order Date]])</f>
        <v>4</v>
      </c>
    </row>
    <row r="120" spans="1:17" x14ac:dyDescent="0.25">
      <c r="A120" t="s">
        <v>391</v>
      </c>
      <c r="B120" s="2">
        <v>46256</v>
      </c>
      <c r="C120">
        <v>2026</v>
      </c>
      <c r="D120" t="s">
        <v>392</v>
      </c>
      <c r="E120" t="s">
        <v>393</v>
      </c>
      <c r="F120" t="s">
        <v>394</v>
      </c>
      <c r="G120" t="s">
        <v>395</v>
      </c>
      <c r="H120" t="s">
        <v>68</v>
      </c>
      <c r="I120" t="s">
        <v>42</v>
      </c>
      <c r="J120">
        <v>18</v>
      </c>
      <c r="K120">
        <v>90.62</v>
      </c>
      <c r="L120">
        <v>1105.8800000000001</v>
      </c>
      <c r="M120">
        <f>Table1[[#This Row],[Quantity Sold]]*Table1[[#This Row],[Unit Price]]</f>
        <v>1631.16</v>
      </c>
      <c r="N120">
        <f>Table1[[#This Row],[Sales Amount]]-Table1[[#This Row],[Cost Amount]]</f>
        <v>525.28</v>
      </c>
      <c r="O120" t="str">
        <f>"Q"&amp;ROUNDUP(MONTH(Table1[[#This Row],[Order Date]])/3,0)</f>
        <v>Q3</v>
      </c>
      <c r="P120" t="str">
        <f>TEXT(Table1[[#This Row],[Order Date]],"MMM")</f>
        <v>Aug</v>
      </c>
      <c r="Q120">
        <f>MONTH(Table1[[#This Row],[Order Date]])</f>
        <v>8</v>
      </c>
    </row>
    <row r="121" spans="1:17" x14ac:dyDescent="0.25">
      <c r="A121" t="s">
        <v>396</v>
      </c>
      <c r="B121" s="2">
        <v>46360</v>
      </c>
      <c r="C121">
        <v>2026</v>
      </c>
      <c r="D121" t="s">
        <v>284</v>
      </c>
      <c r="E121" t="s">
        <v>353</v>
      </c>
      <c r="F121" t="s">
        <v>195</v>
      </c>
      <c r="G121" t="s">
        <v>196</v>
      </c>
      <c r="H121" t="s">
        <v>35</v>
      </c>
      <c r="I121" t="s">
        <v>23</v>
      </c>
      <c r="J121">
        <v>20</v>
      </c>
      <c r="K121">
        <v>69.680000000000007</v>
      </c>
      <c r="L121">
        <v>769.57</v>
      </c>
      <c r="M121">
        <f>Table1[[#This Row],[Quantity Sold]]*Table1[[#This Row],[Unit Price]]</f>
        <v>1393.6000000000001</v>
      </c>
      <c r="N121">
        <f>Table1[[#This Row],[Sales Amount]]-Table1[[#This Row],[Cost Amount]]</f>
        <v>624.03000000000009</v>
      </c>
      <c r="O121" t="str">
        <f>"Q"&amp;ROUNDUP(MONTH(Table1[[#This Row],[Order Date]])/3,0)</f>
        <v>Q4</v>
      </c>
      <c r="P121" t="str">
        <f>TEXT(Table1[[#This Row],[Order Date]],"MMM")</f>
        <v>Dec</v>
      </c>
      <c r="Q121">
        <f>MONTH(Table1[[#This Row],[Order Date]])</f>
        <v>12</v>
      </c>
    </row>
    <row r="122" spans="1:17" x14ac:dyDescent="0.25">
      <c r="A122" t="s">
        <v>397</v>
      </c>
      <c r="B122" s="2">
        <v>46317</v>
      </c>
      <c r="C122">
        <v>2026</v>
      </c>
      <c r="D122" t="s">
        <v>398</v>
      </c>
      <c r="E122" t="s">
        <v>65</v>
      </c>
      <c r="F122" t="s">
        <v>399</v>
      </c>
      <c r="G122" t="s">
        <v>400</v>
      </c>
      <c r="H122" t="s">
        <v>22</v>
      </c>
      <c r="I122" t="s">
        <v>29</v>
      </c>
      <c r="J122">
        <v>12</v>
      </c>
      <c r="K122">
        <v>215.9</v>
      </c>
      <c r="L122">
        <v>1696.77</v>
      </c>
      <c r="M122">
        <f>Table1[[#This Row],[Quantity Sold]]*Table1[[#This Row],[Unit Price]]</f>
        <v>2590.8000000000002</v>
      </c>
      <c r="N122">
        <f>Table1[[#This Row],[Sales Amount]]-Table1[[#This Row],[Cost Amount]]</f>
        <v>894.0300000000002</v>
      </c>
      <c r="O122" t="str">
        <f>"Q"&amp;ROUNDUP(MONTH(Table1[[#This Row],[Order Date]])/3,0)</f>
        <v>Q4</v>
      </c>
      <c r="P122" t="str">
        <f>TEXT(Table1[[#This Row],[Order Date]],"MMM")</f>
        <v>Oct</v>
      </c>
      <c r="Q122">
        <f>MONTH(Table1[[#This Row],[Order Date]])</f>
        <v>10</v>
      </c>
    </row>
    <row r="123" spans="1:17" x14ac:dyDescent="0.25">
      <c r="A123" t="s">
        <v>401</v>
      </c>
      <c r="B123" s="2">
        <v>46141</v>
      </c>
      <c r="C123">
        <v>2026</v>
      </c>
      <c r="D123" t="s">
        <v>263</v>
      </c>
      <c r="E123" t="s">
        <v>402</v>
      </c>
      <c r="F123" t="s">
        <v>129</v>
      </c>
      <c r="G123" t="s">
        <v>130</v>
      </c>
      <c r="H123" t="s">
        <v>35</v>
      </c>
      <c r="I123" t="s">
        <v>29</v>
      </c>
      <c r="J123">
        <v>1</v>
      </c>
      <c r="K123">
        <v>72.3</v>
      </c>
      <c r="L123">
        <v>51.57</v>
      </c>
      <c r="M123">
        <f>Table1[[#This Row],[Quantity Sold]]*Table1[[#This Row],[Unit Price]]</f>
        <v>72.3</v>
      </c>
      <c r="N123">
        <f>Table1[[#This Row],[Sales Amount]]-Table1[[#This Row],[Cost Amount]]</f>
        <v>20.729999999999997</v>
      </c>
      <c r="O123" t="str">
        <f>"Q"&amp;ROUNDUP(MONTH(Table1[[#This Row],[Order Date]])/3,0)</f>
        <v>Q2</v>
      </c>
      <c r="P123" t="str">
        <f>TEXT(Table1[[#This Row],[Order Date]],"MMM")</f>
        <v>Apr</v>
      </c>
      <c r="Q123">
        <f>MONTH(Table1[[#This Row],[Order Date]])</f>
        <v>4</v>
      </c>
    </row>
    <row r="124" spans="1:17" x14ac:dyDescent="0.25">
      <c r="A124" t="s">
        <v>403</v>
      </c>
      <c r="B124" s="2">
        <v>46121</v>
      </c>
      <c r="C124">
        <v>2026</v>
      </c>
      <c r="D124" t="s">
        <v>404</v>
      </c>
      <c r="E124" t="s">
        <v>405</v>
      </c>
      <c r="F124" t="s">
        <v>173</v>
      </c>
      <c r="G124" t="s">
        <v>174</v>
      </c>
      <c r="H124" t="s">
        <v>22</v>
      </c>
      <c r="I124" t="s">
        <v>42</v>
      </c>
      <c r="J124">
        <v>11</v>
      </c>
      <c r="K124">
        <v>292.58999999999997</v>
      </c>
      <c r="L124">
        <v>2444.7399999999998</v>
      </c>
      <c r="M124">
        <f>Table1[[#This Row],[Quantity Sold]]*Table1[[#This Row],[Unit Price]]</f>
        <v>3218.49</v>
      </c>
      <c r="N124">
        <f>Table1[[#This Row],[Sales Amount]]-Table1[[#This Row],[Cost Amount]]</f>
        <v>773.75</v>
      </c>
      <c r="O124" t="str">
        <f>"Q"&amp;ROUNDUP(MONTH(Table1[[#This Row],[Order Date]])/3,0)</f>
        <v>Q2</v>
      </c>
      <c r="P124" t="str">
        <f>TEXT(Table1[[#This Row],[Order Date]],"MMM")</f>
        <v>Apr</v>
      </c>
      <c r="Q124">
        <f>MONTH(Table1[[#This Row],[Order Date]])</f>
        <v>4</v>
      </c>
    </row>
    <row r="125" spans="1:17" x14ac:dyDescent="0.25">
      <c r="A125" t="s">
        <v>406</v>
      </c>
      <c r="B125" s="2">
        <v>46224</v>
      </c>
      <c r="C125">
        <v>2026</v>
      </c>
      <c r="D125" t="s">
        <v>47</v>
      </c>
      <c r="E125" t="s">
        <v>338</v>
      </c>
      <c r="F125" t="s">
        <v>169</v>
      </c>
      <c r="G125" t="s">
        <v>170</v>
      </c>
      <c r="H125" t="s">
        <v>22</v>
      </c>
      <c r="I125" t="s">
        <v>23</v>
      </c>
      <c r="J125">
        <v>19</v>
      </c>
      <c r="K125">
        <v>399.51</v>
      </c>
      <c r="L125">
        <v>5336.15</v>
      </c>
      <c r="M125">
        <f>Table1[[#This Row],[Quantity Sold]]*Table1[[#This Row],[Unit Price]]</f>
        <v>7590.69</v>
      </c>
      <c r="N125">
        <f>Table1[[#This Row],[Sales Amount]]-Table1[[#This Row],[Cost Amount]]</f>
        <v>2254.54</v>
      </c>
      <c r="O125" t="str">
        <f>"Q"&amp;ROUNDUP(MONTH(Table1[[#This Row],[Order Date]])/3,0)</f>
        <v>Q3</v>
      </c>
      <c r="P125" t="str">
        <f>TEXT(Table1[[#This Row],[Order Date]],"MMM")</f>
        <v>Jul</v>
      </c>
      <c r="Q125">
        <f>MONTH(Table1[[#This Row],[Order Date]])</f>
        <v>7</v>
      </c>
    </row>
    <row r="126" spans="1:17" x14ac:dyDescent="0.25">
      <c r="A126" t="s">
        <v>407</v>
      </c>
      <c r="B126" s="2">
        <v>46371</v>
      </c>
      <c r="C126">
        <v>2026</v>
      </c>
      <c r="D126" t="s">
        <v>44</v>
      </c>
      <c r="E126" t="s">
        <v>408</v>
      </c>
      <c r="F126" t="s">
        <v>313</v>
      </c>
      <c r="G126" t="s">
        <v>314</v>
      </c>
      <c r="H126" t="s">
        <v>68</v>
      </c>
      <c r="I126" t="s">
        <v>23</v>
      </c>
      <c r="J126">
        <v>8</v>
      </c>
      <c r="K126">
        <v>234.79</v>
      </c>
      <c r="L126">
        <v>1202.3399999999999</v>
      </c>
      <c r="M126">
        <f>Table1[[#This Row],[Quantity Sold]]*Table1[[#This Row],[Unit Price]]</f>
        <v>1878.32</v>
      </c>
      <c r="N126">
        <f>Table1[[#This Row],[Sales Amount]]-Table1[[#This Row],[Cost Amount]]</f>
        <v>675.98</v>
      </c>
      <c r="O126" t="str">
        <f>"Q"&amp;ROUNDUP(MONTH(Table1[[#This Row],[Order Date]])/3,0)</f>
        <v>Q4</v>
      </c>
      <c r="P126" t="str">
        <f>TEXT(Table1[[#This Row],[Order Date]],"MMM")</f>
        <v>Dec</v>
      </c>
      <c r="Q126">
        <f>MONTH(Table1[[#This Row],[Order Date]])</f>
        <v>12</v>
      </c>
    </row>
    <row r="127" spans="1:17" x14ac:dyDescent="0.25">
      <c r="A127" t="s">
        <v>409</v>
      </c>
      <c r="B127" s="2">
        <v>46164</v>
      </c>
      <c r="C127">
        <v>2026</v>
      </c>
      <c r="D127" t="s">
        <v>64</v>
      </c>
      <c r="E127" t="s">
        <v>176</v>
      </c>
      <c r="F127" t="s">
        <v>20</v>
      </c>
      <c r="G127" t="s">
        <v>21</v>
      </c>
      <c r="H127" t="s">
        <v>22</v>
      </c>
      <c r="I127" t="s">
        <v>23</v>
      </c>
      <c r="J127">
        <v>15</v>
      </c>
      <c r="K127">
        <v>362.23</v>
      </c>
      <c r="L127">
        <v>4589.1499999999996</v>
      </c>
      <c r="M127">
        <f>Table1[[#This Row],[Quantity Sold]]*Table1[[#This Row],[Unit Price]]</f>
        <v>5433.4500000000007</v>
      </c>
      <c r="N127">
        <f>Table1[[#This Row],[Sales Amount]]-Table1[[#This Row],[Cost Amount]]</f>
        <v>844.30000000000109</v>
      </c>
      <c r="O127" t="str">
        <f>"Q"&amp;ROUNDUP(MONTH(Table1[[#This Row],[Order Date]])/3,0)</f>
        <v>Q2</v>
      </c>
      <c r="P127" t="str">
        <f>TEXT(Table1[[#This Row],[Order Date]],"MMM")</f>
        <v>May</v>
      </c>
      <c r="Q127">
        <f>MONTH(Table1[[#This Row],[Order Date]])</f>
        <v>5</v>
      </c>
    </row>
    <row r="128" spans="1:17" x14ac:dyDescent="0.25">
      <c r="A128" t="s">
        <v>410</v>
      </c>
      <c r="B128" s="2">
        <v>46181</v>
      </c>
      <c r="C128">
        <v>2026</v>
      </c>
      <c r="D128" t="s">
        <v>115</v>
      </c>
      <c r="E128" t="s">
        <v>411</v>
      </c>
      <c r="F128" t="s">
        <v>95</v>
      </c>
      <c r="G128" t="s">
        <v>96</v>
      </c>
      <c r="H128" t="s">
        <v>97</v>
      </c>
      <c r="I128" t="s">
        <v>23</v>
      </c>
      <c r="J128">
        <v>14</v>
      </c>
      <c r="K128">
        <v>50.4</v>
      </c>
      <c r="L128">
        <v>530.99</v>
      </c>
      <c r="M128">
        <f>Table1[[#This Row],[Quantity Sold]]*Table1[[#This Row],[Unit Price]]</f>
        <v>705.6</v>
      </c>
      <c r="N128">
        <f>Table1[[#This Row],[Sales Amount]]-Table1[[#This Row],[Cost Amount]]</f>
        <v>174.61</v>
      </c>
      <c r="O128" t="str">
        <f>"Q"&amp;ROUNDUP(MONTH(Table1[[#This Row],[Order Date]])/3,0)</f>
        <v>Q2</v>
      </c>
      <c r="P128" t="str">
        <f>TEXT(Table1[[#This Row],[Order Date]],"MMM")</f>
        <v>Jun</v>
      </c>
      <c r="Q128">
        <f>MONTH(Table1[[#This Row],[Order Date]])</f>
        <v>6</v>
      </c>
    </row>
    <row r="129" spans="1:17" x14ac:dyDescent="0.25">
      <c r="A129" t="s">
        <v>412</v>
      </c>
      <c r="B129" s="2">
        <v>46220</v>
      </c>
      <c r="C129">
        <v>2026</v>
      </c>
      <c r="D129" t="s">
        <v>222</v>
      </c>
      <c r="E129" t="s">
        <v>413</v>
      </c>
      <c r="F129" t="s">
        <v>186</v>
      </c>
      <c r="G129" t="s">
        <v>187</v>
      </c>
      <c r="H129" t="s">
        <v>97</v>
      </c>
      <c r="I129" t="s">
        <v>23</v>
      </c>
      <c r="J129">
        <v>17</v>
      </c>
      <c r="K129">
        <v>45.58</v>
      </c>
      <c r="L129">
        <v>430.41</v>
      </c>
      <c r="M129">
        <f>Table1[[#This Row],[Quantity Sold]]*Table1[[#This Row],[Unit Price]]</f>
        <v>774.86</v>
      </c>
      <c r="N129">
        <f>Table1[[#This Row],[Sales Amount]]-Table1[[#This Row],[Cost Amount]]</f>
        <v>344.45</v>
      </c>
      <c r="O129" t="str">
        <f>"Q"&amp;ROUNDUP(MONTH(Table1[[#This Row],[Order Date]])/3,0)</f>
        <v>Q3</v>
      </c>
      <c r="P129" t="str">
        <f>TEXT(Table1[[#This Row],[Order Date]],"MMM")</f>
        <v>Jul</v>
      </c>
      <c r="Q129">
        <f>MONTH(Table1[[#This Row],[Order Date]])</f>
        <v>7</v>
      </c>
    </row>
    <row r="130" spans="1:17" x14ac:dyDescent="0.25">
      <c r="A130" t="s">
        <v>414</v>
      </c>
      <c r="B130" s="2">
        <v>46290</v>
      </c>
      <c r="C130">
        <v>2026</v>
      </c>
      <c r="D130" t="s">
        <v>415</v>
      </c>
      <c r="E130" t="s">
        <v>82</v>
      </c>
      <c r="F130" t="s">
        <v>278</v>
      </c>
      <c r="G130" t="s">
        <v>279</v>
      </c>
      <c r="H130" t="s">
        <v>220</v>
      </c>
      <c r="I130" t="s">
        <v>29</v>
      </c>
      <c r="J130">
        <v>18</v>
      </c>
      <c r="K130">
        <v>441.59</v>
      </c>
      <c r="L130">
        <v>5579.1</v>
      </c>
      <c r="M130">
        <f>Table1[[#This Row],[Quantity Sold]]*Table1[[#This Row],[Unit Price]]</f>
        <v>7948.62</v>
      </c>
      <c r="N130">
        <f>Table1[[#This Row],[Sales Amount]]-Table1[[#This Row],[Cost Amount]]</f>
        <v>2369.5199999999995</v>
      </c>
      <c r="O130" t="str">
        <f>"Q"&amp;ROUNDUP(MONTH(Table1[[#This Row],[Order Date]])/3,0)</f>
        <v>Q3</v>
      </c>
      <c r="P130" t="str">
        <f>TEXT(Table1[[#This Row],[Order Date]],"MMM")</f>
        <v>Sep</v>
      </c>
      <c r="Q130">
        <f>MONTH(Table1[[#This Row],[Order Date]])</f>
        <v>9</v>
      </c>
    </row>
    <row r="131" spans="1:17" x14ac:dyDescent="0.25">
      <c r="A131" t="s">
        <v>416</v>
      </c>
      <c r="B131" s="2">
        <v>46305</v>
      </c>
      <c r="C131">
        <v>2026</v>
      </c>
      <c r="D131" t="s">
        <v>417</v>
      </c>
      <c r="E131" t="s">
        <v>338</v>
      </c>
      <c r="F131" t="s">
        <v>229</v>
      </c>
      <c r="G131" t="s">
        <v>230</v>
      </c>
      <c r="H131" t="s">
        <v>35</v>
      </c>
      <c r="I131" t="s">
        <v>52</v>
      </c>
      <c r="J131">
        <v>17</v>
      </c>
      <c r="K131">
        <v>491.61</v>
      </c>
      <c r="L131">
        <v>5547.84</v>
      </c>
      <c r="M131">
        <f>Table1[[#This Row],[Quantity Sold]]*Table1[[#This Row],[Unit Price]]</f>
        <v>8357.3700000000008</v>
      </c>
      <c r="N131">
        <f>Table1[[#This Row],[Sales Amount]]-Table1[[#This Row],[Cost Amount]]</f>
        <v>2809.5300000000007</v>
      </c>
      <c r="O131" t="str">
        <f>"Q"&amp;ROUNDUP(MONTH(Table1[[#This Row],[Order Date]])/3,0)</f>
        <v>Q4</v>
      </c>
      <c r="P131" t="str">
        <f>TEXT(Table1[[#This Row],[Order Date]],"MMM")</f>
        <v>Oct</v>
      </c>
      <c r="Q131">
        <f>MONTH(Table1[[#This Row],[Order Date]])</f>
        <v>10</v>
      </c>
    </row>
    <row r="132" spans="1:17" x14ac:dyDescent="0.25">
      <c r="A132" t="s">
        <v>418</v>
      </c>
      <c r="B132" s="2">
        <v>46286</v>
      </c>
      <c r="C132">
        <v>2026</v>
      </c>
      <c r="D132" t="s">
        <v>352</v>
      </c>
      <c r="E132" t="s">
        <v>419</v>
      </c>
      <c r="F132" t="s">
        <v>249</v>
      </c>
      <c r="G132" t="s">
        <v>250</v>
      </c>
      <c r="H132" t="s">
        <v>51</v>
      </c>
      <c r="I132" t="s">
        <v>42</v>
      </c>
      <c r="J132">
        <v>14</v>
      </c>
      <c r="K132">
        <v>153.19999999999999</v>
      </c>
      <c r="L132">
        <v>1452.04</v>
      </c>
      <c r="M132">
        <f>Table1[[#This Row],[Quantity Sold]]*Table1[[#This Row],[Unit Price]]</f>
        <v>2144.7999999999997</v>
      </c>
      <c r="N132">
        <f>Table1[[#This Row],[Sales Amount]]-Table1[[#This Row],[Cost Amount]]</f>
        <v>692.75999999999976</v>
      </c>
      <c r="O132" t="str">
        <f>"Q"&amp;ROUNDUP(MONTH(Table1[[#This Row],[Order Date]])/3,0)</f>
        <v>Q3</v>
      </c>
      <c r="P132" t="str">
        <f>TEXT(Table1[[#This Row],[Order Date]],"MMM")</f>
        <v>Sep</v>
      </c>
      <c r="Q132">
        <f>MONTH(Table1[[#This Row],[Order Date]])</f>
        <v>9</v>
      </c>
    </row>
    <row r="133" spans="1:17" x14ac:dyDescent="0.25">
      <c r="A133" t="s">
        <v>420</v>
      </c>
      <c r="B133" s="2">
        <v>46116</v>
      </c>
      <c r="C133">
        <v>2026</v>
      </c>
      <c r="D133" t="s">
        <v>421</v>
      </c>
      <c r="E133" t="s">
        <v>189</v>
      </c>
      <c r="F133" t="s">
        <v>129</v>
      </c>
      <c r="G133" t="s">
        <v>130</v>
      </c>
      <c r="H133" t="s">
        <v>35</v>
      </c>
      <c r="I133" t="s">
        <v>23</v>
      </c>
      <c r="J133">
        <v>20</v>
      </c>
      <c r="K133">
        <v>206.76</v>
      </c>
      <c r="L133">
        <v>2942.81</v>
      </c>
      <c r="M133">
        <f>Table1[[#This Row],[Quantity Sold]]*Table1[[#This Row],[Unit Price]]</f>
        <v>4135.2</v>
      </c>
      <c r="N133">
        <f>Table1[[#This Row],[Sales Amount]]-Table1[[#This Row],[Cost Amount]]</f>
        <v>1192.3899999999999</v>
      </c>
      <c r="O133" t="str">
        <f>"Q"&amp;ROUNDUP(MONTH(Table1[[#This Row],[Order Date]])/3,0)</f>
        <v>Q2</v>
      </c>
      <c r="P133" t="str">
        <f>TEXT(Table1[[#This Row],[Order Date]],"MMM")</f>
        <v>Apr</v>
      </c>
      <c r="Q133">
        <f>MONTH(Table1[[#This Row],[Order Date]])</f>
        <v>4</v>
      </c>
    </row>
    <row r="134" spans="1:17" x14ac:dyDescent="0.25">
      <c r="A134" t="s">
        <v>422</v>
      </c>
      <c r="B134" s="2">
        <v>46183</v>
      </c>
      <c r="C134">
        <v>2026</v>
      </c>
      <c r="D134" t="s">
        <v>54</v>
      </c>
      <c r="E134" t="s">
        <v>423</v>
      </c>
      <c r="F134" t="s">
        <v>424</v>
      </c>
      <c r="G134" t="s">
        <v>425</v>
      </c>
      <c r="H134" t="s">
        <v>41</v>
      </c>
      <c r="I134" t="s">
        <v>42</v>
      </c>
      <c r="J134">
        <v>10</v>
      </c>
      <c r="K134">
        <v>322.77</v>
      </c>
      <c r="L134">
        <v>2632.17</v>
      </c>
      <c r="M134">
        <f>Table1[[#This Row],[Quantity Sold]]*Table1[[#This Row],[Unit Price]]</f>
        <v>3227.7</v>
      </c>
      <c r="N134">
        <f>Table1[[#This Row],[Sales Amount]]-Table1[[#This Row],[Cost Amount]]</f>
        <v>595.52999999999975</v>
      </c>
      <c r="O134" t="str">
        <f>"Q"&amp;ROUNDUP(MONTH(Table1[[#This Row],[Order Date]])/3,0)</f>
        <v>Q2</v>
      </c>
      <c r="P134" t="str">
        <f>TEXT(Table1[[#This Row],[Order Date]],"MMM")</f>
        <v>Jun</v>
      </c>
      <c r="Q134">
        <f>MONTH(Table1[[#This Row],[Order Date]])</f>
        <v>6</v>
      </c>
    </row>
    <row r="135" spans="1:17" x14ac:dyDescent="0.25">
      <c r="A135" t="s">
        <v>426</v>
      </c>
      <c r="B135" s="2">
        <v>46142</v>
      </c>
      <c r="C135">
        <v>2026</v>
      </c>
      <c r="D135" t="s">
        <v>427</v>
      </c>
      <c r="E135" t="s">
        <v>228</v>
      </c>
      <c r="F135" t="s">
        <v>134</v>
      </c>
      <c r="G135" t="s">
        <v>135</v>
      </c>
      <c r="H135" t="s">
        <v>22</v>
      </c>
      <c r="I135" t="s">
        <v>42</v>
      </c>
      <c r="J135">
        <v>9</v>
      </c>
      <c r="K135">
        <v>133.11000000000001</v>
      </c>
      <c r="L135">
        <v>755.77</v>
      </c>
      <c r="M135">
        <f>Table1[[#This Row],[Quantity Sold]]*Table1[[#This Row],[Unit Price]]</f>
        <v>1197.9900000000002</v>
      </c>
      <c r="N135">
        <f>Table1[[#This Row],[Sales Amount]]-Table1[[#This Row],[Cost Amount]]</f>
        <v>442.22000000000025</v>
      </c>
      <c r="O135" t="str">
        <f>"Q"&amp;ROUNDUP(MONTH(Table1[[#This Row],[Order Date]])/3,0)</f>
        <v>Q2</v>
      </c>
      <c r="P135" t="str">
        <f>TEXT(Table1[[#This Row],[Order Date]],"MMM")</f>
        <v>Apr</v>
      </c>
      <c r="Q135">
        <f>MONTH(Table1[[#This Row],[Order Date]])</f>
        <v>4</v>
      </c>
    </row>
    <row r="136" spans="1:17" x14ac:dyDescent="0.25">
      <c r="A136" t="s">
        <v>428</v>
      </c>
      <c r="B136" s="2">
        <v>46260</v>
      </c>
      <c r="C136">
        <v>2026</v>
      </c>
      <c r="D136" t="s">
        <v>44</v>
      </c>
      <c r="E136" t="s">
        <v>223</v>
      </c>
      <c r="F136" t="s">
        <v>163</v>
      </c>
      <c r="G136" t="s">
        <v>164</v>
      </c>
      <c r="H136" t="s">
        <v>68</v>
      </c>
      <c r="I136" t="s">
        <v>42</v>
      </c>
      <c r="J136">
        <v>1</v>
      </c>
      <c r="K136">
        <v>191.69</v>
      </c>
      <c r="L136">
        <v>114.37</v>
      </c>
      <c r="M136">
        <f>Table1[[#This Row],[Quantity Sold]]*Table1[[#This Row],[Unit Price]]</f>
        <v>191.69</v>
      </c>
      <c r="N136">
        <f>Table1[[#This Row],[Sales Amount]]-Table1[[#This Row],[Cost Amount]]</f>
        <v>77.319999999999993</v>
      </c>
      <c r="O136" t="str">
        <f>"Q"&amp;ROUNDUP(MONTH(Table1[[#This Row],[Order Date]])/3,0)</f>
        <v>Q3</v>
      </c>
      <c r="P136" t="str">
        <f>TEXT(Table1[[#This Row],[Order Date]],"MMM")</f>
        <v>Aug</v>
      </c>
      <c r="Q136">
        <f>MONTH(Table1[[#This Row],[Order Date]])</f>
        <v>8</v>
      </c>
    </row>
    <row r="137" spans="1:17" x14ac:dyDescent="0.25">
      <c r="A137" t="s">
        <v>429</v>
      </c>
      <c r="B137" s="2">
        <v>46373</v>
      </c>
      <c r="C137">
        <v>2026</v>
      </c>
      <c r="D137" t="s">
        <v>333</v>
      </c>
      <c r="E137" t="s">
        <v>335</v>
      </c>
      <c r="F137" t="s">
        <v>72</v>
      </c>
      <c r="G137" t="s">
        <v>73</v>
      </c>
      <c r="H137" t="s">
        <v>41</v>
      </c>
      <c r="I137" t="s">
        <v>52</v>
      </c>
      <c r="J137">
        <v>4</v>
      </c>
      <c r="K137">
        <v>278.69</v>
      </c>
      <c r="L137">
        <v>585.94000000000005</v>
      </c>
      <c r="M137">
        <f>Table1[[#This Row],[Quantity Sold]]*Table1[[#This Row],[Unit Price]]</f>
        <v>1114.76</v>
      </c>
      <c r="N137">
        <f>Table1[[#This Row],[Sales Amount]]-Table1[[#This Row],[Cost Amount]]</f>
        <v>528.81999999999994</v>
      </c>
      <c r="O137" t="str">
        <f>"Q"&amp;ROUNDUP(MONTH(Table1[[#This Row],[Order Date]])/3,0)</f>
        <v>Q4</v>
      </c>
      <c r="P137" t="str">
        <f>TEXT(Table1[[#This Row],[Order Date]],"MMM")</f>
        <v>Dec</v>
      </c>
      <c r="Q137">
        <f>MONTH(Table1[[#This Row],[Order Date]])</f>
        <v>12</v>
      </c>
    </row>
    <row r="138" spans="1:17" x14ac:dyDescent="0.25">
      <c r="A138" t="s">
        <v>430</v>
      </c>
      <c r="B138" s="2">
        <v>46311</v>
      </c>
      <c r="C138">
        <v>2026</v>
      </c>
      <c r="D138" t="s">
        <v>232</v>
      </c>
      <c r="E138" t="s">
        <v>223</v>
      </c>
      <c r="F138" t="s">
        <v>159</v>
      </c>
      <c r="G138" t="s">
        <v>160</v>
      </c>
      <c r="H138" t="s">
        <v>51</v>
      </c>
      <c r="I138" t="s">
        <v>42</v>
      </c>
      <c r="J138">
        <v>18</v>
      </c>
      <c r="K138">
        <v>361.23</v>
      </c>
      <c r="L138">
        <v>4393.2</v>
      </c>
      <c r="M138">
        <f>Table1[[#This Row],[Quantity Sold]]*Table1[[#This Row],[Unit Price]]</f>
        <v>6502.14</v>
      </c>
      <c r="N138">
        <f>Table1[[#This Row],[Sales Amount]]-Table1[[#This Row],[Cost Amount]]</f>
        <v>2108.9400000000005</v>
      </c>
      <c r="O138" t="str">
        <f>"Q"&amp;ROUNDUP(MONTH(Table1[[#This Row],[Order Date]])/3,0)</f>
        <v>Q4</v>
      </c>
      <c r="P138" t="str">
        <f>TEXT(Table1[[#This Row],[Order Date]],"MMM")</f>
        <v>Oct</v>
      </c>
      <c r="Q138">
        <f>MONTH(Table1[[#This Row],[Order Date]])</f>
        <v>10</v>
      </c>
    </row>
    <row r="139" spans="1:17" x14ac:dyDescent="0.25">
      <c r="A139" t="s">
        <v>431</v>
      </c>
      <c r="B139" s="2">
        <v>46180</v>
      </c>
      <c r="C139">
        <v>2026</v>
      </c>
      <c r="D139" t="s">
        <v>37</v>
      </c>
      <c r="E139" t="s">
        <v>432</v>
      </c>
      <c r="F139" t="s">
        <v>195</v>
      </c>
      <c r="G139" t="s">
        <v>196</v>
      </c>
      <c r="H139" t="s">
        <v>35</v>
      </c>
      <c r="I139" t="s">
        <v>29</v>
      </c>
      <c r="J139">
        <v>3</v>
      </c>
      <c r="K139">
        <v>453.53</v>
      </c>
      <c r="L139">
        <v>1103.23</v>
      </c>
      <c r="M139">
        <f>Table1[[#This Row],[Quantity Sold]]*Table1[[#This Row],[Unit Price]]</f>
        <v>1360.59</v>
      </c>
      <c r="N139">
        <f>Table1[[#This Row],[Sales Amount]]-Table1[[#This Row],[Cost Amount]]</f>
        <v>257.3599999999999</v>
      </c>
      <c r="O139" t="str">
        <f>"Q"&amp;ROUNDUP(MONTH(Table1[[#This Row],[Order Date]])/3,0)</f>
        <v>Q2</v>
      </c>
      <c r="P139" t="str">
        <f>TEXT(Table1[[#This Row],[Order Date]],"MMM")</f>
        <v>Jun</v>
      </c>
      <c r="Q139">
        <f>MONTH(Table1[[#This Row],[Order Date]])</f>
        <v>6</v>
      </c>
    </row>
    <row r="140" spans="1:17" x14ac:dyDescent="0.25">
      <c r="A140" t="s">
        <v>433</v>
      </c>
      <c r="B140" s="2">
        <v>46338</v>
      </c>
      <c r="C140">
        <v>2026</v>
      </c>
      <c r="D140" t="s">
        <v>434</v>
      </c>
      <c r="E140" t="s">
        <v>435</v>
      </c>
      <c r="F140" t="s">
        <v>394</v>
      </c>
      <c r="G140" t="s">
        <v>395</v>
      </c>
      <c r="H140" t="s">
        <v>68</v>
      </c>
      <c r="I140" t="s">
        <v>52</v>
      </c>
      <c r="J140">
        <v>8</v>
      </c>
      <c r="K140">
        <v>412.87</v>
      </c>
      <c r="L140">
        <v>2797.84</v>
      </c>
      <c r="M140">
        <f>Table1[[#This Row],[Quantity Sold]]*Table1[[#This Row],[Unit Price]]</f>
        <v>3302.96</v>
      </c>
      <c r="N140">
        <f>Table1[[#This Row],[Sales Amount]]-Table1[[#This Row],[Cost Amount]]</f>
        <v>505.11999999999989</v>
      </c>
      <c r="O140" t="str">
        <f>"Q"&amp;ROUNDUP(MONTH(Table1[[#This Row],[Order Date]])/3,0)</f>
        <v>Q4</v>
      </c>
      <c r="P140" t="str">
        <f>TEXT(Table1[[#This Row],[Order Date]],"MMM")</f>
        <v>Nov</v>
      </c>
      <c r="Q140">
        <f>MONTH(Table1[[#This Row],[Order Date]])</f>
        <v>11</v>
      </c>
    </row>
    <row r="141" spans="1:17" x14ac:dyDescent="0.25">
      <c r="A141" t="s">
        <v>436</v>
      </c>
      <c r="B141" s="2">
        <v>46173</v>
      </c>
      <c r="C141">
        <v>2026</v>
      </c>
      <c r="D141" t="s">
        <v>377</v>
      </c>
      <c r="E141" t="s">
        <v>437</v>
      </c>
      <c r="F141" t="s">
        <v>154</v>
      </c>
      <c r="G141" t="s">
        <v>155</v>
      </c>
      <c r="H141" t="s">
        <v>68</v>
      </c>
      <c r="I141" t="s">
        <v>29</v>
      </c>
      <c r="J141">
        <v>1</v>
      </c>
      <c r="K141">
        <v>89.08</v>
      </c>
      <c r="L141">
        <v>54.93</v>
      </c>
      <c r="M141">
        <f>Table1[[#This Row],[Quantity Sold]]*Table1[[#This Row],[Unit Price]]</f>
        <v>89.08</v>
      </c>
      <c r="N141">
        <f>Table1[[#This Row],[Sales Amount]]-Table1[[#This Row],[Cost Amount]]</f>
        <v>34.15</v>
      </c>
      <c r="O141" t="str">
        <f>"Q"&amp;ROUNDUP(MONTH(Table1[[#This Row],[Order Date]])/3,0)</f>
        <v>Q2</v>
      </c>
      <c r="P141" t="str">
        <f>TEXT(Table1[[#This Row],[Order Date]],"MMM")</f>
        <v>May</v>
      </c>
      <c r="Q141">
        <f>MONTH(Table1[[#This Row],[Order Date]])</f>
        <v>5</v>
      </c>
    </row>
    <row r="142" spans="1:17" x14ac:dyDescent="0.25">
      <c r="A142" t="s">
        <v>438</v>
      </c>
      <c r="B142" s="2">
        <v>46326</v>
      </c>
      <c r="C142">
        <v>2026</v>
      </c>
      <c r="D142" t="s">
        <v>337</v>
      </c>
      <c r="E142" t="s">
        <v>439</v>
      </c>
      <c r="F142" t="s">
        <v>440</v>
      </c>
      <c r="G142" t="s">
        <v>441</v>
      </c>
      <c r="H142" t="s">
        <v>97</v>
      </c>
      <c r="I142" t="s">
        <v>23</v>
      </c>
      <c r="J142">
        <v>16</v>
      </c>
      <c r="K142">
        <v>165.49</v>
      </c>
      <c r="L142">
        <v>1652.02</v>
      </c>
      <c r="M142">
        <f>Table1[[#This Row],[Quantity Sold]]*Table1[[#This Row],[Unit Price]]</f>
        <v>2647.84</v>
      </c>
      <c r="N142">
        <f>Table1[[#This Row],[Sales Amount]]-Table1[[#This Row],[Cost Amount]]</f>
        <v>995.82000000000016</v>
      </c>
      <c r="O142" t="str">
        <f>"Q"&amp;ROUNDUP(MONTH(Table1[[#This Row],[Order Date]])/3,0)</f>
        <v>Q4</v>
      </c>
      <c r="P142" t="str">
        <f>TEXT(Table1[[#This Row],[Order Date]],"MMM")</f>
        <v>Oct</v>
      </c>
      <c r="Q142">
        <f>MONTH(Table1[[#This Row],[Order Date]])</f>
        <v>10</v>
      </c>
    </row>
    <row r="143" spans="1:17" x14ac:dyDescent="0.25">
      <c r="A143" t="s">
        <v>442</v>
      </c>
      <c r="B143" s="2">
        <v>46253</v>
      </c>
      <c r="C143">
        <v>2026</v>
      </c>
      <c r="D143" t="s">
        <v>398</v>
      </c>
      <c r="E143" t="s">
        <v>32</v>
      </c>
      <c r="F143" t="s">
        <v>323</v>
      </c>
      <c r="G143" t="s">
        <v>324</v>
      </c>
      <c r="H143" t="s">
        <v>68</v>
      </c>
      <c r="I143" t="s">
        <v>42</v>
      </c>
      <c r="J143">
        <v>16</v>
      </c>
      <c r="K143">
        <v>184.64</v>
      </c>
      <c r="L143">
        <v>1732.49</v>
      </c>
      <c r="M143">
        <f>Table1[[#This Row],[Quantity Sold]]*Table1[[#This Row],[Unit Price]]</f>
        <v>2954.24</v>
      </c>
      <c r="N143">
        <f>Table1[[#This Row],[Sales Amount]]-Table1[[#This Row],[Cost Amount]]</f>
        <v>1221.7499999999998</v>
      </c>
      <c r="O143" t="str">
        <f>"Q"&amp;ROUNDUP(MONTH(Table1[[#This Row],[Order Date]])/3,0)</f>
        <v>Q3</v>
      </c>
      <c r="P143" t="str">
        <f>TEXT(Table1[[#This Row],[Order Date]],"MMM")</f>
        <v>Aug</v>
      </c>
      <c r="Q143">
        <f>MONTH(Table1[[#This Row],[Order Date]])</f>
        <v>8</v>
      </c>
    </row>
    <row r="144" spans="1:17" x14ac:dyDescent="0.25">
      <c r="A144" t="s">
        <v>443</v>
      </c>
      <c r="B144" s="2">
        <v>46080</v>
      </c>
      <c r="C144">
        <v>2026</v>
      </c>
      <c r="D144" t="s">
        <v>31</v>
      </c>
      <c r="E144" t="s">
        <v>204</v>
      </c>
      <c r="F144" t="s">
        <v>149</v>
      </c>
      <c r="G144" t="s">
        <v>150</v>
      </c>
      <c r="H144" t="s">
        <v>22</v>
      </c>
      <c r="I144" t="s">
        <v>52</v>
      </c>
      <c r="J144">
        <v>8</v>
      </c>
      <c r="K144">
        <v>37.770000000000003</v>
      </c>
      <c r="L144">
        <v>204.44</v>
      </c>
      <c r="M144">
        <f>Table1[[#This Row],[Quantity Sold]]*Table1[[#This Row],[Unit Price]]</f>
        <v>302.16000000000003</v>
      </c>
      <c r="N144">
        <f>Table1[[#This Row],[Sales Amount]]-Table1[[#This Row],[Cost Amount]]</f>
        <v>97.720000000000027</v>
      </c>
      <c r="O144" t="str">
        <f>"Q"&amp;ROUNDUP(MONTH(Table1[[#This Row],[Order Date]])/3,0)</f>
        <v>Q1</v>
      </c>
      <c r="P144" t="str">
        <f>TEXT(Table1[[#This Row],[Order Date]],"MMM")</f>
        <v>Feb</v>
      </c>
      <c r="Q144">
        <f>MONTH(Table1[[#This Row],[Order Date]])</f>
        <v>2</v>
      </c>
    </row>
    <row r="145" spans="1:17" x14ac:dyDescent="0.25">
      <c r="A145" t="s">
        <v>444</v>
      </c>
      <c r="B145" s="2">
        <v>46053</v>
      </c>
      <c r="C145">
        <v>2026</v>
      </c>
      <c r="D145" t="s">
        <v>357</v>
      </c>
      <c r="E145" t="s">
        <v>87</v>
      </c>
      <c r="F145" t="s">
        <v>190</v>
      </c>
      <c r="G145" t="s">
        <v>191</v>
      </c>
      <c r="H145" t="s">
        <v>35</v>
      </c>
      <c r="I145" t="s">
        <v>52</v>
      </c>
      <c r="J145">
        <v>14</v>
      </c>
      <c r="K145">
        <v>68.94</v>
      </c>
      <c r="L145">
        <v>513.74</v>
      </c>
      <c r="M145">
        <f>Table1[[#This Row],[Quantity Sold]]*Table1[[#This Row],[Unit Price]]</f>
        <v>965.16</v>
      </c>
      <c r="N145">
        <f>Table1[[#This Row],[Sales Amount]]-Table1[[#This Row],[Cost Amount]]</f>
        <v>451.41999999999996</v>
      </c>
      <c r="O145" t="str">
        <f>"Q"&amp;ROUNDUP(MONTH(Table1[[#This Row],[Order Date]])/3,0)</f>
        <v>Q1</v>
      </c>
      <c r="P145" t="str">
        <f>TEXT(Table1[[#This Row],[Order Date]],"MMM")</f>
        <v>Jan</v>
      </c>
      <c r="Q145">
        <f>MONTH(Table1[[#This Row],[Order Date]])</f>
        <v>1</v>
      </c>
    </row>
    <row r="146" spans="1:17" x14ac:dyDescent="0.25">
      <c r="A146" t="s">
        <v>445</v>
      </c>
      <c r="B146" s="2">
        <v>46272</v>
      </c>
      <c r="C146">
        <v>2026</v>
      </c>
      <c r="D146" t="s">
        <v>446</v>
      </c>
      <c r="E146" t="s">
        <v>447</v>
      </c>
      <c r="F146" t="s">
        <v>129</v>
      </c>
      <c r="G146" t="s">
        <v>130</v>
      </c>
      <c r="H146" t="s">
        <v>35</v>
      </c>
      <c r="I146" t="s">
        <v>29</v>
      </c>
      <c r="J146">
        <v>19</v>
      </c>
      <c r="K146">
        <v>429.73</v>
      </c>
      <c r="L146">
        <v>5873.13</v>
      </c>
      <c r="M146">
        <f>Table1[[#This Row],[Quantity Sold]]*Table1[[#This Row],[Unit Price]]</f>
        <v>8164.8700000000008</v>
      </c>
      <c r="N146">
        <f>Table1[[#This Row],[Sales Amount]]-Table1[[#This Row],[Cost Amount]]</f>
        <v>2291.7400000000007</v>
      </c>
      <c r="O146" t="str">
        <f>"Q"&amp;ROUNDUP(MONTH(Table1[[#This Row],[Order Date]])/3,0)</f>
        <v>Q3</v>
      </c>
      <c r="P146" t="str">
        <f>TEXT(Table1[[#This Row],[Order Date]],"MMM")</f>
        <v>Sep</v>
      </c>
      <c r="Q146">
        <f>MONTH(Table1[[#This Row],[Order Date]])</f>
        <v>9</v>
      </c>
    </row>
    <row r="147" spans="1:17" x14ac:dyDescent="0.25">
      <c r="A147" t="s">
        <v>448</v>
      </c>
      <c r="B147" s="2">
        <v>46123</v>
      </c>
      <c r="C147">
        <v>2026</v>
      </c>
      <c r="D147" t="s">
        <v>421</v>
      </c>
      <c r="E147" t="s">
        <v>255</v>
      </c>
      <c r="F147" t="s">
        <v>313</v>
      </c>
      <c r="G147" t="s">
        <v>314</v>
      </c>
      <c r="H147" t="s">
        <v>68</v>
      </c>
      <c r="I147" t="s">
        <v>29</v>
      </c>
      <c r="J147">
        <v>6</v>
      </c>
      <c r="K147">
        <v>98.15</v>
      </c>
      <c r="L147">
        <v>365.28</v>
      </c>
      <c r="M147">
        <f>Table1[[#This Row],[Quantity Sold]]*Table1[[#This Row],[Unit Price]]</f>
        <v>588.90000000000009</v>
      </c>
      <c r="N147">
        <f>Table1[[#This Row],[Sales Amount]]-Table1[[#This Row],[Cost Amount]]</f>
        <v>223.62000000000012</v>
      </c>
      <c r="O147" t="str">
        <f>"Q"&amp;ROUNDUP(MONTH(Table1[[#This Row],[Order Date]])/3,0)</f>
        <v>Q2</v>
      </c>
      <c r="P147" t="str">
        <f>TEXT(Table1[[#This Row],[Order Date]],"MMM")</f>
        <v>Apr</v>
      </c>
      <c r="Q147">
        <f>MONTH(Table1[[#This Row],[Order Date]])</f>
        <v>4</v>
      </c>
    </row>
    <row r="148" spans="1:17" x14ac:dyDescent="0.25">
      <c r="A148" t="s">
        <v>449</v>
      </c>
      <c r="B148" s="2">
        <v>46062</v>
      </c>
      <c r="C148">
        <v>2026</v>
      </c>
      <c r="D148" t="s">
        <v>352</v>
      </c>
      <c r="E148" t="s">
        <v>48</v>
      </c>
      <c r="F148" t="s">
        <v>139</v>
      </c>
      <c r="G148" t="s">
        <v>140</v>
      </c>
      <c r="H148" t="s">
        <v>22</v>
      </c>
      <c r="I148" t="s">
        <v>52</v>
      </c>
      <c r="J148">
        <v>7</v>
      </c>
      <c r="K148">
        <v>48.73</v>
      </c>
      <c r="L148">
        <v>182.38</v>
      </c>
      <c r="M148">
        <f>Table1[[#This Row],[Quantity Sold]]*Table1[[#This Row],[Unit Price]]</f>
        <v>341.10999999999996</v>
      </c>
      <c r="N148">
        <f>Table1[[#This Row],[Sales Amount]]-Table1[[#This Row],[Cost Amount]]</f>
        <v>158.72999999999996</v>
      </c>
      <c r="O148" t="str">
        <f>"Q"&amp;ROUNDUP(MONTH(Table1[[#This Row],[Order Date]])/3,0)</f>
        <v>Q1</v>
      </c>
      <c r="P148" t="str">
        <f>TEXT(Table1[[#This Row],[Order Date]],"MMM")</f>
        <v>Feb</v>
      </c>
      <c r="Q148">
        <f>MONTH(Table1[[#This Row],[Order Date]])</f>
        <v>2</v>
      </c>
    </row>
    <row r="149" spans="1:17" x14ac:dyDescent="0.25">
      <c r="A149" t="s">
        <v>450</v>
      </c>
      <c r="B149" s="2">
        <v>46050</v>
      </c>
      <c r="C149">
        <v>2026</v>
      </c>
      <c r="D149" t="s">
        <v>288</v>
      </c>
      <c r="E149" t="s">
        <v>451</v>
      </c>
      <c r="F149" t="s">
        <v>313</v>
      </c>
      <c r="G149" t="s">
        <v>314</v>
      </c>
      <c r="H149" t="s">
        <v>68</v>
      </c>
      <c r="I149" t="s">
        <v>52</v>
      </c>
      <c r="J149">
        <v>1</v>
      </c>
      <c r="K149">
        <v>258.31</v>
      </c>
      <c r="L149">
        <v>196.61</v>
      </c>
      <c r="M149">
        <f>Table1[[#This Row],[Quantity Sold]]*Table1[[#This Row],[Unit Price]]</f>
        <v>258.31</v>
      </c>
      <c r="N149">
        <f>Table1[[#This Row],[Sales Amount]]-Table1[[#This Row],[Cost Amount]]</f>
        <v>61.699999999999989</v>
      </c>
      <c r="O149" t="str">
        <f>"Q"&amp;ROUNDUP(MONTH(Table1[[#This Row],[Order Date]])/3,0)</f>
        <v>Q1</v>
      </c>
      <c r="P149" t="str">
        <f>TEXT(Table1[[#This Row],[Order Date]],"MMM")</f>
        <v>Jan</v>
      </c>
      <c r="Q149">
        <f>MONTH(Table1[[#This Row],[Order Date]])</f>
        <v>1</v>
      </c>
    </row>
    <row r="150" spans="1:17" x14ac:dyDescent="0.25">
      <c r="A150" t="s">
        <v>452</v>
      </c>
      <c r="B150" s="2">
        <v>46069</v>
      </c>
      <c r="C150">
        <v>2026</v>
      </c>
      <c r="D150" t="s">
        <v>239</v>
      </c>
      <c r="E150" t="s">
        <v>453</v>
      </c>
      <c r="F150" t="s">
        <v>440</v>
      </c>
      <c r="G150" t="s">
        <v>441</v>
      </c>
      <c r="H150" t="s">
        <v>97</v>
      </c>
      <c r="I150" t="s">
        <v>23</v>
      </c>
      <c r="J150">
        <v>5</v>
      </c>
      <c r="K150">
        <v>301.70999999999998</v>
      </c>
      <c r="L150">
        <v>946.8</v>
      </c>
      <c r="M150">
        <f>Table1[[#This Row],[Quantity Sold]]*Table1[[#This Row],[Unit Price]]</f>
        <v>1508.55</v>
      </c>
      <c r="N150">
        <f>Table1[[#This Row],[Sales Amount]]-Table1[[#This Row],[Cost Amount]]</f>
        <v>561.75</v>
      </c>
      <c r="O150" t="str">
        <f>"Q"&amp;ROUNDUP(MONTH(Table1[[#This Row],[Order Date]])/3,0)</f>
        <v>Q1</v>
      </c>
      <c r="P150" t="str">
        <f>TEXT(Table1[[#This Row],[Order Date]],"MMM")</f>
        <v>Feb</v>
      </c>
      <c r="Q150">
        <f>MONTH(Table1[[#This Row],[Order Date]])</f>
        <v>2</v>
      </c>
    </row>
    <row r="151" spans="1:17" x14ac:dyDescent="0.25">
      <c r="A151" t="s">
        <v>454</v>
      </c>
      <c r="B151" s="2">
        <v>46378</v>
      </c>
      <c r="C151">
        <v>2026</v>
      </c>
      <c r="D151" t="s">
        <v>86</v>
      </c>
      <c r="E151" t="s">
        <v>455</v>
      </c>
      <c r="F151" t="s">
        <v>424</v>
      </c>
      <c r="G151" t="s">
        <v>425</v>
      </c>
      <c r="H151" t="s">
        <v>41</v>
      </c>
      <c r="I151" t="s">
        <v>29</v>
      </c>
      <c r="J151">
        <v>11</v>
      </c>
      <c r="K151">
        <v>466.27</v>
      </c>
      <c r="L151">
        <v>4135.12</v>
      </c>
      <c r="M151">
        <f>Table1[[#This Row],[Quantity Sold]]*Table1[[#This Row],[Unit Price]]</f>
        <v>5128.9699999999993</v>
      </c>
      <c r="N151">
        <f>Table1[[#This Row],[Sales Amount]]-Table1[[#This Row],[Cost Amount]]</f>
        <v>993.84999999999945</v>
      </c>
      <c r="O151" t="str">
        <f>"Q"&amp;ROUNDUP(MONTH(Table1[[#This Row],[Order Date]])/3,0)</f>
        <v>Q4</v>
      </c>
      <c r="P151" t="str">
        <f>TEXT(Table1[[#This Row],[Order Date]],"MMM")</f>
        <v>Dec</v>
      </c>
      <c r="Q151">
        <f>MONTH(Table1[[#This Row],[Order Date]])</f>
        <v>12</v>
      </c>
    </row>
    <row r="152" spans="1:17" x14ac:dyDescent="0.25">
      <c r="A152" t="s">
        <v>456</v>
      </c>
      <c r="B152" s="2">
        <v>46130</v>
      </c>
      <c r="C152">
        <v>2026</v>
      </c>
      <c r="D152" t="s">
        <v>118</v>
      </c>
      <c r="E152" t="s">
        <v>457</v>
      </c>
      <c r="F152" t="s">
        <v>56</v>
      </c>
      <c r="G152" t="s">
        <v>57</v>
      </c>
      <c r="H152" t="s">
        <v>51</v>
      </c>
      <c r="I152" t="s">
        <v>52</v>
      </c>
      <c r="J152">
        <v>7</v>
      </c>
      <c r="K152">
        <v>219.37</v>
      </c>
      <c r="L152">
        <v>1121.56</v>
      </c>
      <c r="M152">
        <f>Table1[[#This Row],[Quantity Sold]]*Table1[[#This Row],[Unit Price]]</f>
        <v>1535.5900000000001</v>
      </c>
      <c r="N152">
        <f>Table1[[#This Row],[Sales Amount]]-Table1[[#This Row],[Cost Amount]]</f>
        <v>414.0300000000002</v>
      </c>
      <c r="O152" t="str">
        <f>"Q"&amp;ROUNDUP(MONTH(Table1[[#This Row],[Order Date]])/3,0)</f>
        <v>Q2</v>
      </c>
      <c r="P152" t="str">
        <f>TEXT(Table1[[#This Row],[Order Date]],"MMM")</f>
        <v>Apr</v>
      </c>
      <c r="Q152">
        <f>MONTH(Table1[[#This Row],[Order Date]])</f>
        <v>4</v>
      </c>
    </row>
    <row r="153" spans="1:17" x14ac:dyDescent="0.25">
      <c r="A153" t="s">
        <v>458</v>
      </c>
      <c r="B153" s="2">
        <v>46327</v>
      </c>
      <c r="C153">
        <v>2026</v>
      </c>
      <c r="D153" t="s">
        <v>459</v>
      </c>
      <c r="E153" t="s">
        <v>87</v>
      </c>
      <c r="F153" t="s">
        <v>27</v>
      </c>
      <c r="G153" t="s">
        <v>28</v>
      </c>
      <c r="H153" t="s">
        <v>22</v>
      </c>
      <c r="I153" t="s">
        <v>42</v>
      </c>
      <c r="J153">
        <v>3</v>
      </c>
      <c r="K153">
        <v>355.71</v>
      </c>
      <c r="L153">
        <v>555.44000000000005</v>
      </c>
      <c r="M153">
        <f>Table1[[#This Row],[Quantity Sold]]*Table1[[#This Row],[Unit Price]]</f>
        <v>1067.1299999999999</v>
      </c>
      <c r="N153">
        <f>Table1[[#This Row],[Sales Amount]]-Table1[[#This Row],[Cost Amount]]</f>
        <v>511.68999999999983</v>
      </c>
      <c r="O153" t="str">
        <f>"Q"&amp;ROUNDUP(MONTH(Table1[[#This Row],[Order Date]])/3,0)</f>
        <v>Q4</v>
      </c>
      <c r="P153" t="str">
        <f>TEXT(Table1[[#This Row],[Order Date]],"MMM")</f>
        <v>Nov</v>
      </c>
      <c r="Q153">
        <f>MONTH(Table1[[#This Row],[Order Date]])</f>
        <v>11</v>
      </c>
    </row>
    <row r="154" spans="1:17" x14ac:dyDescent="0.25">
      <c r="A154" t="s">
        <v>460</v>
      </c>
      <c r="B154" s="2">
        <v>46089</v>
      </c>
      <c r="C154">
        <v>2026</v>
      </c>
      <c r="D154" t="s">
        <v>257</v>
      </c>
      <c r="E154" t="s">
        <v>461</v>
      </c>
      <c r="F154" t="s">
        <v>66</v>
      </c>
      <c r="G154" t="s">
        <v>67</v>
      </c>
      <c r="H154" t="s">
        <v>68</v>
      </c>
      <c r="I154" t="s">
        <v>29</v>
      </c>
      <c r="J154">
        <v>6</v>
      </c>
      <c r="K154">
        <v>472.14</v>
      </c>
      <c r="L154">
        <v>2250.62</v>
      </c>
      <c r="M154">
        <f>Table1[[#This Row],[Quantity Sold]]*Table1[[#This Row],[Unit Price]]</f>
        <v>2832.84</v>
      </c>
      <c r="N154">
        <f>Table1[[#This Row],[Sales Amount]]-Table1[[#This Row],[Cost Amount]]</f>
        <v>582.22000000000025</v>
      </c>
      <c r="O154" t="str">
        <f>"Q"&amp;ROUNDUP(MONTH(Table1[[#This Row],[Order Date]])/3,0)</f>
        <v>Q1</v>
      </c>
      <c r="P154" t="str">
        <f>TEXT(Table1[[#This Row],[Order Date]],"MMM")</f>
        <v>Mar</v>
      </c>
      <c r="Q154">
        <f>MONTH(Table1[[#This Row],[Order Date]])</f>
        <v>3</v>
      </c>
    </row>
    <row r="155" spans="1:17" x14ac:dyDescent="0.25">
      <c r="A155" t="s">
        <v>462</v>
      </c>
      <c r="B155" s="2">
        <v>46231</v>
      </c>
      <c r="C155">
        <v>2026</v>
      </c>
      <c r="D155" t="s">
        <v>463</v>
      </c>
      <c r="E155" t="s">
        <v>113</v>
      </c>
      <c r="F155" t="s">
        <v>91</v>
      </c>
      <c r="G155" t="s">
        <v>92</v>
      </c>
      <c r="H155" t="s">
        <v>68</v>
      </c>
      <c r="I155" t="s">
        <v>23</v>
      </c>
      <c r="J155">
        <v>11</v>
      </c>
      <c r="K155">
        <v>216.74</v>
      </c>
      <c r="L155">
        <v>1646.84</v>
      </c>
      <c r="M155">
        <f>Table1[[#This Row],[Quantity Sold]]*Table1[[#This Row],[Unit Price]]</f>
        <v>2384.1400000000003</v>
      </c>
      <c r="N155">
        <f>Table1[[#This Row],[Sales Amount]]-Table1[[#This Row],[Cost Amount]]</f>
        <v>737.30000000000041</v>
      </c>
      <c r="O155" t="str">
        <f>"Q"&amp;ROUNDUP(MONTH(Table1[[#This Row],[Order Date]])/3,0)</f>
        <v>Q3</v>
      </c>
      <c r="P155" t="str">
        <f>TEXT(Table1[[#This Row],[Order Date]],"MMM")</f>
        <v>Jul</v>
      </c>
      <c r="Q155">
        <f>MONTH(Table1[[#This Row],[Order Date]])</f>
        <v>7</v>
      </c>
    </row>
    <row r="156" spans="1:17" x14ac:dyDescent="0.25">
      <c r="A156" t="s">
        <v>464</v>
      </c>
      <c r="B156" s="2">
        <v>46288</v>
      </c>
      <c r="C156">
        <v>2026</v>
      </c>
      <c r="D156" t="s">
        <v>263</v>
      </c>
      <c r="E156" t="s">
        <v>465</v>
      </c>
      <c r="F156" t="s">
        <v>33</v>
      </c>
      <c r="G156" t="s">
        <v>34</v>
      </c>
      <c r="H156" t="s">
        <v>35</v>
      </c>
      <c r="I156" t="s">
        <v>52</v>
      </c>
      <c r="J156">
        <v>12</v>
      </c>
      <c r="K156">
        <v>131.26</v>
      </c>
      <c r="L156">
        <v>1100.57</v>
      </c>
      <c r="M156">
        <f>Table1[[#This Row],[Quantity Sold]]*Table1[[#This Row],[Unit Price]]</f>
        <v>1575.12</v>
      </c>
      <c r="N156">
        <f>Table1[[#This Row],[Sales Amount]]-Table1[[#This Row],[Cost Amount]]</f>
        <v>474.54999999999995</v>
      </c>
      <c r="O156" t="str">
        <f>"Q"&amp;ROUNDUP(MONTH(Table1[[#This Row],[Order Date]])/3,0)</f>
        <v>Q3</v>
      </c>
      <c r="P156" t="str">
        <f>TEXT(Table1[[#This Row],[Order Date]],"MMM")</f>
        <v>Sep</v>
      </c>
      <c r="Q156">
        <f>MONTH(Table1[[#This Row],[Order Date]])</f>
        <v>9</v>
      </c>
    </row>
    <row r="157" spans="1:17" x14ac:dyDescent="0.25">
      <c r="A157" t="s">
        <v>466</v>
      </c>
      <c r="B157" s="2">
        <v>46211</v>
      </c>
      <c r="C157">
        <v>2026</v>
      </c>
      <c r="D157" t="s">
        <v>467</v>
      </c>
      <c r="E157" t="s">
        <v>468</v>
      </c>
      <c r="F157" t="s">
        <v>91</v>
      </c>
      <c r="G157" t="s">
        <v>92</v>
      </c>
      <c r="H157" t="s">
        <v>68</v>
      </c>
      <c r="I157" t="s">
        <v>29</v>
      </c>
      <c r="J157">
        <v>1</v>
      </c>
      <c r="K157">
        <v>243.83</v>
      </c>
      <c r="L157">
        <v>177.91</v>
      </c>
      <c r="M157">
        <f>Table1[[#This Row],[Quantity Sold]]*Table1[[#This Row],[Unit Price]]</f>
        <v>243.83</v>
      </c>
      <c r="N157">
        <f>Table1[[#This Row],[Sales Amount]]-Table1[[#This Row],[Cost Amount]]</f>
        <v>65.920000000000016</v>
      </c>
      <c r="O157" t="str">
        <f>"Q"&amp;ROUNDUP(MONTH(Table1[[#This Row],[Order Date]])/3,0)</f>
        <v>Q3</v>
      </c>
      <c r="P157" t="str">
        <f>TEXT(Table1[[#This Row],[Order Date]],"MMM")</f>
        <v>Jul</v>
      </c>
      <c r="Q157">
        <f>MONTH(Table1[[#This Row],[Order Date]])</f>
        <v>7</v>
      </c>
    </row>
    <row r="158" spans="1:17" x14ac:dyDescent="0.25">
      <c r="A158" t="s">
        <v>469</v>
      </c>
      <c r="B158" s="2">
        <v>46137</v>
      </c>
      <c r="C158">
        <v>2026</v>
      </c>
      <c r="D158" t="s">
        <v>470</v>
      </c>
      <c r="E158" t="s">
        <v>413</v>
      </c>
      <c r="F158" t="s">
        <v>169</v>
      </c>
      <c r="G158" t="s">
        <v>170</v>
      </c>
      <c r="H158" t="s">
        <v>22</v>
      </c>
      <c r="I158" t="s">
        <v>23</v>
      </c>
      <c r="J158">
        <v>3</v>
      </c>
      <c r="K158">
        <v>87.42</v>
      </c>
      <c r="L158">
        <v>197.17</v>
      </c>
      <c r="M158">
        <f>Table1[[#This Row],[Quantity Sold]]*Table1[[#This Row],[Unit Price]]</f>
        <v>262.26</v>
      </c>
      <c r="N158">
        <f>Table1[[#This Row],[Sales Amount]]-Table1[[#This Row],[Cost Amount]]</f>
        <v>65.09</v>
      </c>
      <c r="O158" t="str">
        <f>"Q"&amp;ROUNDUP(MONTH(Table1[[#This Row],[Order Date]])/3,0)</f>
        <v>Q2</v>
      </c>
      <c r="P158" t="str">
        <f>TEXT(Table1[[#This Row],[Order Date]],"MMM")</f>
        <v>Apr</v>
      </c>
      <c r="Q158">
        <f>MONTH(Table1[[#This Row],[Order Date]])</f>
        <v>4</v>
      </c>
    </row>
    <row r="159" spans="1:17" x14ac:dyDescent="0.25">
      <c r="A159" t="s">
        <v>471</v>
      </c>
      <c r="B159" s="2">
        <v>46169</v>
      </c>
      <c r="C159">
        <v>2026</v>
      </c>
      <c r="D159" t="s">
        <v>472</v>
      </c>
      <c r="E159" t="s">
        <v>473</v>
      </c>
      <c r="F159" t="s">
        <v>169</v>
      </c>
      <c r="G159" t="s">
        <v>170</v>
      </c>
      <c r="H159" t="s">
        <v>22</v>
      </c>
      <c r="I159" t="s">
        <v>23</v>
      </c>
      <c r="J159">
        <v>5</v>
      </c>
      <c r="K159">
        <v>384.53</v>
      </c>
      <c r="L159">
        <v>1557.04</v>
      </c>
      <c r="M159">
        <f>Table1[[#This Row],[Quantity Sold]]*Table1[[#This Row],[Unit Price]]</f>
        <v>1922.6499999999999</v>
      </c>
      <c r="N159">
        <f>Table1[[#This Row],[Sales Amount]]-Table1[[#This Row],[Cost Amount]]</f>
        <v>365.6099999999999</v>
      </c>
      <c r="O159" t="str">
        <f>"Q"&amp;ROUNDUP(MONTH(Table1[[#This Row],[Order Date]])/3,0)</f>
        <v>Q2</v>
      </c>
      <c r="P159" t="str">
        <f>TEXT(Table1[[#This Row],[Order Date]],"MMM")</f>
        <v>May</v>
      </c>
      <c r="Q159">
        <f>MONTH(Table1[[#This Row],[Order Date]])</f>
        <v>5</v>
      </c>
    </row>
    <row r="160" spans="1:17" x14ac:dyDescent="0.25">
      <c r="A160" t="s">
        <v>474</v>
      </c>
      <c r="B160" s="2">
        <v>46260</v>
      </c>
      <c r="C160">
        <v>2026</v>
      </c>
      <c r="D160" t="s">
        <v>316</v>
      </c>
      <c r="E160" t="s">
        <v>411</v>
      </c>
      <c r="F160" t="s">
        <v>20</v>
      </c>
      <c r="G160" t="s">
        <v>21</v>
      </c>
      <c r="H160" t="s">
        <v>22</v>
      </c>
      <c r="I160" t="s">
        <v>52</v>
      </c>
      <c r="J160">
        <v>5</v>
      </c>
      <c r="K160">
        <v>489.97</v>
      </c>
      <c r="L160">
        <v>1667.25</v>
      </c>
      <c r="M160">
        <f>Table1[[#This Row],[Quantity Sold]]*Table1[[#This Row],[Unit Price]]</f>
        <v>2449.8500000000004</v>
      </c>
      <c r="N160">
        <f>Table1[[#This Row],[Sales Amount]]-Table1[[#This Row],[Cost Amount]]</f>
        <v>782.60000000000036</v>
      </c>
      <c r="O160" t="str">
        <f>"Q"&amp;ROUNDUP(MONTH(Table1[[#This Row],[Order Date]])/3,0)</f>
        <v>Q3</v>
      </c>
      <c r="P160" t="str">
        <f>TEXT(Table1[[#This Row],[Order Date]],"MMM")</f>
        <v>Aug</v>
      </c>
      <c r="Q160">
        <f>MONTH(Table1[[#This Row],[Order Date]])</f>
        <v>8</v>
      </c>
    </row>
    <row r="161" spans="1:17" x14ac:dyDescent="0.25">
      <c r="A161" t="s">
        <v>475</v>
      </c>
      <c r="B161" s="2">
        <v>46290</v>
      </c>
      <c r="C161">
        <v>2026</v>
      </c>
      <c r="D161" t="s">
        <v>247</v>
      </c>
      <c r="E161" t="s">
        <v>327</v>
      </c>
      <c r="F161" t="s">
        <v>347</v>
      </c>
      <c r="G161" t="s">
        <v>348</v>
      </c>
      <c r="H161" t="s">
        <v>68</v>
      </c>
      <c r="I161" t="s">
        <v>23</v>
      </c>
      <c r="J161">
        <v>1</v>
      </c>
      <c r="K161">
        <v>290.45999999999998</v>
      </c>
      <c r="L161">
        <v>187.13</v>
      </c>
      <c r="M161">
        <f>Table1[[#This Row],[Quantity Sold]]*Table1[[#This Row],[Unit Price]]</f>
        <v>290.45999999999998</v>
      </c>
      <c r="N161">
        <f>Table1[[#This Row],[Sales Amount]]-Table1[[#This Row],[Cost Amount]]</f>
        <v>103.32999999999998</v>
      </c>
      <c r="O161" t="str">
        <f>"Q"&amp;ROUNDUP(MONTH(Table1[[#This Row],[Order Date]])/3,0)</f>
        <v>Q3</v>
      </c>
      <c r="P161" t="str">
        <f>TEXT(Table1[[#This Row],[Order Date]],"MMM")</f>
        <v>Sep</v>
      </c>
      <c r="Q161">
        <f>MONTH(Table1[[#This Row],[Order Date]])</f>
        <v>9</v>
      </c>
    </row>
    <row r="162" spans="1:17" x14ac:dyDescent="0.25">
      <c r="A162" t="s">
        <v>476</v>
      </c>
      <c r="B162" s="2">
        <v>46167</v>
      </c>
      <c r="C162">
        <v>2026</v>
      </c>
      <c r="D162" t="s">
        <v>239</v>
      </c>
      <c r="E162" t="s">
        <v>477</v>
      </c>
      <c r="F162" t="s">
        <v>323</v>
      </c>
      <c r="G162" t="s">
        <v>324</v>
      </c>
      <c r="H162" t="s">
        <v>68</v>
      </c>
      <c r="I162" t="s">
        <v>42</v>
      </c>
      <c r="J162">
        <v>18</v>
      </c>
      <c r="K162">
        <v>301.37</v>
      </c>
      <c r="L162">
        <v>3013.05</v>
      </c>
      <c r="M162">
        <f>Table1[[#This Row],[Quantity Sold]]*Table1[[#This Row],[Unit Price]]</f>
        <v>5424.66</v>
      </c>
      <c r="N162">
        <f>Table1[[#This Row],[Sales Amount]]-Table1[[#This Row],[Cost Amount]]</f>
        <v>2411.6099999999997</v>
      </c>
      <c r="O162" t="str">
        <f>"Q"&amp;ROUNDUP(MONTH(Table1[[#This Row],[Order Date]])/3,0)</f>
        <v>Q2</v>
      </c>
      <c r="P162" t="str">
        <f>TEXT(Table1[[#This Row],[Order Date]],"MMM")</f>
        <v>May</v>
      </c>
      <c r="Q162">
        <f>MONTH(Table1[[#This Row],[Order Date]])</f>
        <v>5</v>
      </c>
    </row>
    <row r="163" spans="1:17" x14ac:dyDescent="0.25">
      <c r="A163" t="s">
        <v>478</v>
      </c>
      <c r="B163" s="2">
        <v>46032</v>
      </c>
      <c r="C163">
        <v>2026</v>
      </c>
      <c r="D163" t="s">
        <v>479</v>
      </c>
      <c r="E163" t="s">
        <v>289</v>
      </c>
      <c r="F163" t="s">
        <v>20</v>
      </c>
      <c r="G163" t="s">
        <v>21</v>
      </c>
      <c r="H163" t="s">
        <v>22</v>
      </c>
      <c r="I163" t="s">
        <v>23</v>
      </c>
      <c r="J163">
        <v>4</v>
      </c>
      <c r="K163">
        <v>303.33999999999997</v>
      </c>
      <c r="L163">
        <v>865.96</v>
      </c>
      <c r="M163">
        <f>Table1[[#This Row],[Quantity Sold]]*Table1[[#This Row],[Unit Price]]</f>
        <v>1213.3599999999999</v>
      </c>
      <c r="N163">
        <f>Table1[[#This Row],[Sales Amount]]-Table1[[#This Row],[Cost Amount]]</f>
        <v>347.39999999999986</v>
      </c>
      <c r="O163" t="str">
        <f>"Q"&amp;ROUNDUP(MONTH(Table1[[#This Row],[Order Date]])/3,0)</f>
        <v>Q1</v>
      </c>
      <c r="P163" t="str">
        <f>TEXT(Table1[[#This Row],[Order Date]],"MMM")</f>
        <v>Jan</v>
      </c>
      <c r="Q163">
        <f>MONTH(Table1[[#This Row],[Order Date]])</f>
        <v>1</v>
      </c>
    </row>
    <row r="164" spans="1:17" x14ac:dyDescent="0.25">
      <c r="A164" t="s">
        <v>480</v>
      </c>
      <c r="B164" s="2">
        <v>46211</v>
      </c>
      <c r="C164">
        <v>2026</v>
      </c>
      <c r="D164" t="s">
        <v>132</v>
      </c>
      <c r="E164" t="s">
        <v>465</v>
      </c>
      <c r="F164" t="s">
        <v>27</v>
      </c>
      <c r="G164" t="s">
        <v>28</v>
      </c>
      <c r="H164" t="s">
        <v>22</v>
      </c>
      <c r="I164" t="s">
        <v>29</v>
      </c>
      <c r="J164">
        <v>12</v>
      </c>
      <c r="K164">
        <v>378.71</v>
      </c>
      <c r="L164">
        <v>3183.38</v>
      </c>
      <c r="M164">
        <f>Table1[[#This Row],[Quantity Sold]]*Table1[[#This Row],[Unit Price]]</f>
        <v>4544.5199999999995</v>
      </c>
      <c r="N164">
        <f>Table1[[#This Row],[Sales Amount]]-Table1[[#This Row],[Cost Amount]]</f>
        <v>1361.1399999999994</v>
      </c>
      <c r="O164" t="str">
        <f>"Q"&amp;ROUNDUP(MONTH(Table1[[#This Row],[Order Date]])/3,0)</f>
        <v>Q3</v>
      </c>
      <c r="P164" t="str">
        <f>TEXT(Table1[[#This Row],[Order Date]],"MMM")</f>
        <v>Jul</v>
      </c>
      <c r="Q164">
        <f>MONTH(Table1[[#This Row],[Order Date]])</f>
        <v>7</v>
      </c>
    </row>
    <row r="165" spans="1:17" x14ac:dyDescent="0.25">
      <c r="A165" t="s">
        <v>481</v>
      </c>
      <c r="B165" s="2">
        <v>46133</v>
      </c>
      <c r="C165">
        <v>2026</v>
      </c>
      <c r="D165" t="s">
        <v>307</v>
      </c>
      <c r="E165" t="s">
        <v>128</v>
      </c>
      <c r="F165" t="s">
        <v>440</v>
      </c>
      <c r="G165" t="s">
        <v>441</v>
      </c>
      <c r="H165" t="s">
        <v>97</v>
      </c>
      <c r="I165" t="s">
        <v>52</v>
      </c>
      <c r="J165">
        <v>12</v>
      </c>
      <c r="K165">
        <v>383.57</v>
      </c>
      <c r="L165">
        <v>2451.6</v>
      </c>
      <c r="M165">
        <f>Table1[[#This Row],[Quantity Sold]]*Table1[[#This Row],[Unit Price]]</f>
        <v>4602.84</v>
      </c>
      <c r="N165">
        <f>Table1[[#This Row],[Sales Amount]]-Table1[[#This Row],[Cost Amount]]</f>
        <v>2151.2400000000002</v>
      </c>
      <c r="O165" t="str">
        <f>"Q"&amp;ROUNDUP(MONTH(Table1[[#This Row],[Order Date]])/3,0)</f>
        <v>Q2</v>
      </c>
      <c r="P165" t="str">
        <f>TEXT(Table1[[#This Row],[Order Date]],"MMM")</f>
        <v>Apr</v>
      </c>
      <c r="Q165">
        <f>MONTH(Table1[[#This Row],[Order Date]])</f>
        <v>4</v>
      </c>
    </row>
    <row r="166" spans="1:17" x14ac:dyDescent="0.25">
      <c r="A166" t="s">
        <v>482</v>
      </c>
      <c r="B166" s="2">
        <v>46203</v>
      </c>
      <c r="C166">
        <v>2026</v>
      </c>
      <c r="D166" t="s">
        <v>118</v>
      </c>
      <c r="E166" t="s">
        <v>483</v>
      </c>
      <c r="F166" t="s">
        <v>484</v>
      </c>
      <c r="G166" t="s">
        <v>485</v>
      </c>
      <c r="H166" t="s">
        <v>97</v>
      </c>
      <c r="I166" t="s">
        <v>42</v>
      </c>
      <c r="J166">
        <v>10</v>
      </c>
      <c r="K166">
        <v>361.07</v>
      </c>
      <c r="L166">
        <v>2280.79</v>
      </c>
      <c r="M166">
        <f>Table1[[#This Row],[Quantity Sold]]*Table1[[#This Row],[Unit Price]]</f>
        <v>3610.7</v>
      </c>
      <c r="N166">
        <f>Table1[[#This Row],[Sales Amount]]-Table1[[#This Row],[Cost Amount]]</f>
        <v>1329.9099999999999</v>
      </c>
      <c r="O166" t="str">
        <f>"Q"&amp;ROUNDUP(MONTH(Table1[[#This Row],[Order Date]])/3,0)</f>
        <v>Q2</v>
      </c>
      <c r="P166" t="str">
        <f>TEXT(Table1[[#This Row],[Order Date]],"MMM")</f>
        <v>Jun</v>
      </c>
      <c r="Q166">
        <f>MONTH(Table1[[#This Row],[Order Date]])</f>
        <v>6</v>
      </c>
    </row>
    <row r="167" spans="1:17" x14ac:dyDescent="0.25">
      <c r="A167" t="s">
        <v>486</v>
      </c>
      <c r="B167" s="2">
        <v>46382</v>
      </c>
      <c r="C167">
        <v>2026</v>
      </c>
      <c r="D167" t="s">
        <v>307</v>
      </c>
      <c r="E167" t="s">
        <v>335</v>
      </c>
      <c r="F167" t="s">
        <v>186</v>
      </c>
      <c r="G167" t="s">
        <v>187</v>
      </c>
      <c r="H167" t="s">
        <v>97</v>
      </c>
      <c r="I167" t="s">
        <v>23</v>
      </c>
      <c r="J167">
        <v>12</v>
      </c>
      <c r="K167">
        <v>438.89</v>
      </c>
      <c r="L167">
        <v>3718.14</v>
      </c>
      <c r="M167">
        <f>Table1[[#This Row],[Quantity Sold]]*Table1[[#This Row],[Unit Price]]</f>
        <v>5266.68</v>
      </c>
      <c r="N167">
        <f>Table1[[#This Row],[Sales Amount]]-Table1[[#This Row],[Cost Amount]]</f>
        <v>1548.5400000000004</v>
      </c>
      <c r="O167" t="str">
        <f>"Q"&amp;ROUNDUP(MONTH(Table1[[#This Row],[Order Date]])/3,0)</f>
        <v>Q4</v>
      </c>
      <c r="P167" t="str">
        <f>TEXT(Table1[[#This Row],[Order Date]],"MMM")</f>
        <v>Dec</v>
      </c>
      <c r="Q167">
        <f>MONTH(Table1[[#This Row],[Order Date]])</f>
        <v>12</v>
      </c>
    </row>
    <row r="168" spans="1:17" x14ac:dyDescent="0.25">
      <c r="A168" t="s">
        <v>487</v>
      </c>
      <c r="B168" s="2">
        <v>46101</v>
      </c>
      <c r="C168">
        <v>2026</v>
      </c>
      <c r="D168" t="s">
        <v>307</v>
      </c>
      <c r="E168" t="s">
        <v>488</v>
      </c>
      <c r="F168" t="s">
        <v>154</v>
      </c>
      <c r="G168" t="s">
        <v>155</v>
      </c>
      <c r="H168" t="s">
        <v>68</v>
      </c>
      <c r="I168" t="s">
        <v>42</v>
      </c>
      <c r="J168">
        <v>10</v>
      </c>
      <c r="K168">
        <v>364.69</v>
      </c>
      <c r="L168">
        <v>2425.81</v>
      </c>
      <c r="M168">
        <f>Table1[[#This Row],[Quantity Sold]]*Table1[[#This Row],[Unit Price]]</f>
        <v>3646.9</v>
      </c>
      <c r="N168">
        <f>Table1[[#This Row],[Sales Amount]]-Table1[[#This Row],[Cost Amount]]</f>
        <v>1221.0900000000001</v>
      </c>
      <c r="O168" t="str">
        <f>"Q"&amp;ROUNDUP(MONTH(Table1[[#This Row],[Order Date]])/3,0)</f>
        <v>Q1</v>
      </c>
      <c r="P168" t="str">
        <f>TEXT(Table1[[#This Row],[Order Date]],"MMM")</f>
        <v>Mar</v>
      </c>
      <c r="Q168">
        <f>MONTH(Table1[[#This Row],[Order Date]])</f>
        <v>3</v>
      </c>
    </row>
    <row r="169" spans="1:17" x14ac:dyDescent="0.25">
      <c r="A169" t="s">
        <v>489</v>
      </c>
      <c r="B169" s="2">
        <v>46365</v>
      </c>
      <c r="C169">
        <v>2026</v>
      </c>
      <c r="D169" t="s">
        <v>459</v>
      </c>
      <c r="E169" t="s">
        <v>455</v>
      </c>
      <c r="F169" t="s">
        <v>66</v>
      </c>
      <c r="G169" t="s">
        <v>67</v>
      </c>
      <c r="H169" t="s">
        <v>68</v>
      </c>
      <c r="I169" t="s">
        <v>29</v>
      </c>
      <c r="J169">
        <v>5</v>
      </c>
      <c r="K169">
        <v>283.66000000000003</v>
      </c>
      <c r="L169">
        <v>1093.54</v>
      </c>
      <c r="M169">
        <f>Table1[[#This Row],[Quantity Sold]]*Table1[[#This Row],[Unit Price]]</f>
        <v>1418.3000000000002</v>
      </c>
      <c r="N169">
        <f>Table1[[#This Row],[Sales Amount]]-Table1[[#This Row],[Cost Amount]]</f>
        <v>324.76000000000022</v>
      </c>
      <c r="O169" t="str">
        <f>"Q"&amp;ROUNDUP(MONTH(Table1[[#This Row],[Order Date]])/3,0)</f>
        <v>Q4</v>
      </c>
      <c r="P169" t="str">
        <f>TEXT(Table1[[#This Row],[Order Date]],"MMM")</f>
        <v>Dec</v>
      </c>
      <c r="Q169">
        <f>MONTH(Table1[[#This Row],[Order Date]])</f>
        <v>12</v>
      </c>
    </row>
    <row r="170" spans="1:17" x14ac:dyDescent="0.25">
      <c r="A170" t="s">
        <v>490</v>
      </c>
      <c r="B170" s="2">
        <v>46380</v>
      </c>
      <c r="C170">
        <v>2026</v>
      </c>
      <c r="D170" t="s">
        <v>180</v>
      </c>
      <c r="E170" t="s">
        <v>491</v>
      </c>
      <c r="F170" t="s">
        <v>173</v>
      </c>
      <c r="G170" t="s">
        <v>174</v>
      </c>
      <c r="H170" t="s">
        <v>22</v>
      </c>
      <c r="I170" t="s">
        <v>29</v>
      </c>
      <c r="J170">
        <v>14</v>
      </c>
      <c r="K170">
        <v>258.05</v>
      </c>
      <c r="L170">
        <v>2375.75</v>
      </c>
      <c r="M170">
        <f>Table1[[#This Row],[Quantity Sold]]*Table1[[#This Row],[Unit Price]]</f>
        <v>3612.7000000000003</v>
      </c>
      <c r="N170">
        <f>Table1[[#This Row],[Sales Amount]]-Table1[[#This Row],[Cost Amount]]</f>
        <v>1236.9500000000003</v>
      </c>
      <c r="O170" t="str">
        <f>"Q"&amp;ROUNDUP(MONTH(Table1[[#This Row],[Order Date]])/3,0)</f>
        <v>Q4</v>
      </c>
      <c r="P170" t="str">
        <f>TEXT(Table1[[#This Row],[Order Date]],"MMM")</f>
        <v>Dec</v>
      </c>
      <c r="Q170">
        <f>MONTH(Table1[[#This Row],[Order Date]])</f>
        <v>12</v>
      </c>
    </row>
    <row r="171" spans="1:17" x14ac:dyDescent="0.25">
      <c r="A171" t="s">
        <v>492</v>
      </c>
      <c r="B171" s="2">
        <v>46289</v>
      </c>
      <c r="C171">
        <v>2026</v>
      </c>
      <c r="D171" t="s">
        <v>257</v>
      </c>
      <c r="E171" t="s">
        <v>493</v>
      </c>
      <c r="F171" t="s">
        <v>440</v>
      </c>
      <c r="G171" t="s">
        <v>441</v>
      </c>
      <c r="H171" t="s">
        <v>97</v>
      </c>
      <c r="I171" t="s">
        <v>52</v>
      </c>
      <c r="J171">
        <v>18</v>
      </c>
      <c r="K171">
        <v>432.04</v>
      </c>
      <c r="L171">
        <v>4250.0200000000004</v>
      </c>
      <c r="M171">
        <f>Table1[[#This Row],[Quantity Sold]]*Table1[[#This Row],[Unit Price]]</f>
        <v>7776.72</v>
      </c>
      <c r="N171">
        <f>Table1[[#This Row],[Sales Amount]]-Table1[[#This Row],[Cost Amount]]</f>
        <v>3526.7</v>
      </c>
      <c r="O171" t="str">
        <f>"Q"&amp;ROUNDUP(MONTH(Table1[[#This Row],[Order Date]])/3,0)</f>
        <v>Q3</v>
      </c>
      <c r="P171" t="str">
        <f>TEXT(Table1[[#This Row],[Order Date]],"MMM")</f>
        <v>Sep</v>
      </c>
      <c r="Q171">
        <f>MONTH(Table1[[#This Row],[Order Date]])</f>
        <v>9</v>
      </c>
    </row>
    <row r="172" spans="1:17" x14ac:dyDescent="0.25">
      <c r="A172" t="s">
        <v>494</v>
      </c>
      <c r="B172" s="2">
        <v>46227</v>
      </c>
      <c r="C172">
        <v>2026</v>
      </c>
      <c r="D172" t="s">
        <v>446</v>
      </c>
      <c r="E172" t="s">
        <v>113</v>
      </c>
      <c r="F172" t="s">
        <v>278</v>
      </c>
      <c r="G172" t="s">
        <v>279</v>
      </c>
      <c r="H172" t="s">
        <v>220</v>
      </c>
      <c r="I172" t="s">
        <v>42</v>
      </c>
      <c r="J172">
        <v>16</v>
      </c>
      <c r="K172">
        <v>139.33000000000001</v>
      </c>
      <c r="L172">
        <v>1500.36</v>
      </c>
      <c r="M172">
        <f>Table1[[#This Row],[Quantity Sold]]*Table1[[#This Row],[Unit Price]]</f>
        <v>2229.2800000000002</v>
      </c>
      <c r="N172">
        <f>Table1[[#This Row],[Sales Amount]]-Table1[[#This Row],[Cost Amount]]</f>
        <v>728.9200000000003</v>
      </c>
      <c r="O172" t="str">
        <f>"Q"&amp;ROUNDUP(MONTH(Table1[[#This Row],[Order Date]])/3,0)</f>
        <v>Q3</v>
      </c>
      <c r="P172" t="str">
        <f>TEXT(Table1[[#This Row],[Order Date]],"MMM")</f>
        <v>Jul</v>
      </c>
      <c r="Q172">
        <f>MONTH(Table1[[#This Row],[Order Date]])</f>
        <v>7</v>
      </c>
    </row>
    <row r="173" spans="1:17" x14ac:dyDescent="0.25">
      <c r="A173" t="s">
        <v>495</v>
      </c>
      <c r="B173" s="2">
        <v>46094</v>
      </c>
      <c r="C173">
        <v>2026</v>
      </c>
      <c r="D173" t="s">
        <v>112</v>
      </c>
      <c r="E173" t="s">
        <v>496</v>
      </c>
      <c r="F173" t="s">
        <v>190</v>
      </c>
      <c r="G173" t="s">
        <v>191</v>
      </c>
      <c r="H173" t="s">
        <v>35</v>
      </c>
      <c r="I173" t="s">
        <v>23</v>
      </c>
      <c r="J173">
        <v>1</v>
      </c>
      <c r="K173">
        <v>212.91</v>
      </c>
      <c r="L173">
        <v>158.49</v>
      </c>
      <c r="M173">
        <f>Table1[[#This Row],[Quantity Sold]]*Table1[[#This Row],[Unit Price]]</f>
        <v>212.91</v>
      </c>
      <c r="N173">
        <f>Table1[[#This Row],[Sales Amount]]-Table1[[#This Row],[Cost Amount]]</f>
        <v>54.419999999999987</v>
      </c>
      <c r="O173" t="str">
        <f>"Q"&amp;ROUNDUP(MONTH(Table1[[#This Row],[Order Date]])/3,0)</f>
        <v>Q1</v>
      </c>
      <c r="P173" t="str">
        <f>TEXT(Table1[[#This Row],[Order Date]],"MMM")</f>
        <v>Mar</v>
      </c>
      <c r="Q173">
        <f>MONTH(Table1[[#This Row],[Order Date]])</f>
        <v>3</v>
      </c>
    </row>
    <row r="174" spans="1:17" x14ac:dyDescent="0.25">
      <c r="A174" t="s">
        <v>497</v>
      </c>
      <c r="B174" s="2">
        <v>46331</v>
      </c>
      <c r="C174">
        <v>2026</v>
      </c>
      <c r="D174" t="s">
        <v>498</v>
      </c>
      <c r="E174" t="s">
        <v>258</v>
      </c>
      <c r="F174" t="s">
        <v>123</v>
      </c>
      <c r="G174" t="s">
        <v>124</v>
      </c>
      <c r="H174" t="s">
        <v>41</v>
      </c>
      <c r="I174" t="s">
        <v>23</v>
      </c>
      <c r="J174">
        <v>3</v>
      </c>
      <c r="K174">
        <v>233.66</v>
      </c>
      <c r="L174">
        <v>577.52</v>
      </c>
      <c r="M174">
        <f>Table1[[#This Row],[Quantity Sold]]*Table1[[#This Row],[Unit Price]]</f>
        <v>700.98</v>
      </c>
      <c r="N174">
        <f>Table1[[#This Row],[Sales Amount]]-Table1[[#This Row],[Cost Amount]]</f>
        <v>123.46000000000004</v>
      </c>
      <c r="O174" t="str">
        <f>"Q"&amp;ROUNDUP(MONTH(Table1[[#This Row],[Order Date]])/3,0)</f>
        <v>Q4</v>
      </c>
      <c r="P174" t="str">
        <f>TEXT(Table1[[#This Row],[Order Date]],"MMM")</f>
        <v>Nov</v>
      </c>
      <c r="Q174">
        <f>MONTH(Table1[[#This Row],[Order Date]])</f>
        <v>11</v>
      </c>
    </row>
    <row r="175" spans="1:17" x14ac:dyDescent="0.25">
      <c r="A175" t="s">
        <v>499</v>
      </c>
      <c r="B175" s="2">
        <v>46095</v>
      </c>
      <c r="C175">
        <v>2026</v>
      </c>
      <c r="D175" t="s">
        <v>132</v>
      </c>
      <c r="E175" t="s">
        <v>500</v>
      </c>
      <c r="F175" t="s">
        <v>91</v>
      </c>
      <c r="G175" t="s">
        <v>92</v>
      </c>
      <c r="H175" t="s">
        <v>68</v>
      </c>
      <c r="I175" t="s">
        <v>42</v>
      </c>
      <c r="J175">
        <v>20</v>
      </c>
      <c r="K175">
        <v>374.59</v>
      </c>
      <c r="L175">
        <v>4944.5600000000004</v>
      </c>
      <c r="M175">
        <f>Table1[[#This Row],[Quantity Sold]]*Table1[[#This Row],[Unit Price]]</f>
        <v>7491.7999999999993</v>
      </c>
      <c r="N175">
        <f>Table1[[#This Row],[Sales Amount]]-Table1[[#This Row],[Cost Amount]]</f>
        <v>2547.2399999999989</v>
      </c>
      <c r="O175" t="str">
        <f>"Q"&amp;ROUNDUP(MONTH(Table1[[#This Row],[Order Date]])/3,0)</f>
        <v>Q1</v>
      </c>
      <c r="P175" t="str">
        <f>TEXT(Table1[[#This Row],[Order Date]],"MMM")</f>
        <v>Mar</v>
      </c>
      <c r="Q175">
        <f>MONTH(Table1[[#This Row],[Order Date]])</f>
        <v>3</v>
      </c>
    </row>
    <row r="176" spans="1:17" x14ac:dyDescent="0.25">
      <c r="A176" t="s">
        <v>501</v>
      </c>
      <c r="B176" s="2">
        <v>46180</v>
      </c>
      <c r="C176">
        <v>2026</v>
      </c>
      <c r="D176" t="s">
        <v>25</v>
      </c>
      <c r="E176" t="s">
        <v>502</v>
      </c>
      <c r="F176" t="s">
        <v>181</v>
      </c>
      <c r="G176" t="s">
        <v>182</v>
      </c>
      <c r="H176" t="s">
        <v>51</v>
      </c>
      <c r="I176" t="s">
        <v>29</v>
      </c>
      <c r="J176">
        <v>1</v>
      </c>
      <c r="K176">
        <v>436.31</v>
      </c>
      <c r="L176">
        <v>284.48</v>
      </c>
      <c r="M176">
        <f>Table1[[#This Row],[Quantity Sold]]*Table1[[#This Row],[Unit Price]]</f>
        <v>436.31</v>
      </c>
      <c r="N176">
        <f>Table1[[#This Row],[Sales Amount]]-Table1[[#This Row],[Cost Amount]]</f>
        <v>151.82999999999998</v>
      </c>
      <c r="O176" t="str">
        <f>"Q"&amp;ROUNDUP(MONTH(Table1[[#This Row],[Order Date]])/3,0)</f>
        <v>Q2</v>
      </c>
      <c r="P176" t="str">
        <f>TEXT(Table1[[#This Row],[Order Date]],"MMM")</f>
        <v>Jun</v>
      </c>
      <c r="Q176">
        <f>MONTH(Table1[[#This Row],[Order Date]])</f>
        <v>6</v>
      </c>
    </row>
    <row r="177" spans="1:17" x14ac:dyDescent="0.25">
      <c r="A177" t="s">
        <v>503</v>
      </c>
      <c r="B177" s="2">
        <v>46043</v>
      </c>
      <c r="C177">
        <v>2026</v>
      </c>
      <c r="D177" t="s">
        <v>59</v>
      </c>
      <c r="E177" t="s">
        <v>504</v>
      </c>
      <c r="F177" t="s">
        <v>399</v>
      </c>
      <c r="G177" t="s">
        <v>400</v>
      </c>
      <c r="H177" t="s">
        <v>22</v>
      </c>
      <c r="I177" t="s">
        <v>42</v>
      </c>
      <c r="J177">
        <v>11</v>
      </c>
      <c r="K177">
        <v>290.02999999999997</v>
      </c>
      <c r="L177">
        <v>2607.48</v>
      </c>
      <c r="M177">
        <f>Table1[[#This Row],[Quantity Sold]]*Table1[[#This Row],[Unit Price]]</f>
        <v>3190.33</v>
      </c>
      <c r="N177">
        <f>Table1[[#This Row],[Sales Amount]]-Table1[[#This Row],[Cost Amount]]</f>
        <v>582.84999999999991</v>
      </c>
      <c r="O177" t="str">
        <f>"Q"&amp;ROUNDUP(MONTH(Table1[[#This Row],[Order Date]])/3,0)</f>
        <v>Q1</v>
      </c>
      <c r="P177" t="str">
        <f>TEXT(Table1[[#This Row],[Order Date]],"MMM")</f>
        <v>Jan</v>
      </c>
      <c r="Q177">
        <f>MONTH(Table1[[#This Row],[Order Date]])</f>
        <v>1</v>
      </c>
    </row>
    <row r="178" spans="1:17" x14ac:dyDescent="0.25">
      <c r="A178" t="s">
        <v>505</v>
      </c>
      <c r="B178" s="2">
        <v>46190</v>
      </c>
      <c r="C178">
        <v>2026</v>
      </c>
      <c r="D178" t="s">
        <v>121</v>
      </c>
      <c r="E178" t="s">
        <v>506</v>
      </c>
      <c r="F178" t="s">
        <v>129</v>
      </c>
      <c r="G178" t="s">
        <v>130</v>
      </c>
      <c r="H178" t="s">
        <v>35</v>
      </c>
      <c r="I178" t="s">
        <v>42</v>
      </c>
      <c r="J178">
        <v>20</v>
      </c>
      <c r="K178">
        <v>224.62</v>
      </c>
      <c r="L178">
        <v>3527.09</v>
      </c>
      <c r="M178">
        <f>Table1[[#This Row],[Quantity Sold]]*Table1[[#This Row],[Unit Price]]</f>
        <v>4492.3999999999996</v>
      </c>
      <c r="N178">
        <f>Table1[[#This Row],[Sales Amount]]-Table1[[#This Row],[Cost Amount]]</f>
        <v>965.30999999999949</v>
      </c>
      <c r="O178" t="str">
        <f>"Q"&amp;ROUNDUP(MONTH(Table1[[#This Row],[Order Date]])/3,0)</f>
        <v>Q2</v>
      </c>
      <c r="P178" t="str">
        <f>TEXT(Table1[[#This Row],[Order Date]],"MMM")</f>
        <v>Jun</v>
      </c>
      <c r="Q178">
        <f>MONTH(Table1[[#This Row],[Order Date]])</f>
        <v>6</v>
      </c>
    </row>
    <row r="179" spans="1:17" x14ac:dyDescent="0.25">
      <c r="A179" t="s">
        <v>507</v>
      </c>
      <c r="B179" s="2">
        <v>46221</v>
      </c>
      <c r="C179">
        <v>2026</v>
      </c>
      <c r="D179" t="s">
        <v>508</v>
      </c>
      <c r="E179" t="s">
        <v>509</v>
      </c>
      <c r="F179" t="s">
        <v>149</v>
      </c>
      <c r="G179" t="s">
        <v>150</v>
      </c>
      <c r="H179" t="s">
        <v>22</v>
      </c>
      <c r="I179" t="s">
        <v>29</v>
      </c>
      <c r="J179">
        <v>14</v>
      </c>
      <c r="K179">
        <v>483.95</v>
      </c>
      <c r="L179">
        <v>4346.37</v>
      </c>
      <c r="M179">
        <f>Table1[[#This Row],[Quantity Sold]]*Table1[[#This Row],[Unit Price]]</f>
        <v>6775.3</v>
      </c>
      <c r="N179">
        <f>Table1[[#This Row],[Sales Amount]]-Table1[[#This Row],[Cost Amount]]</f>
        <v>2428.9300000000003</v>
      </c>
      <c r="O179" t="str">
        <f>"Q"&amp;ROUNDUP(MONTH(Table1[[#This Row],[Order Date]])/3,0)</f>
        <v>Q3</v>
      </c>
      <c r="P179" t="str">
        <f>TEXT(Table1[[#This Row],[Order Date]],"MMM")</f>
        <v>Jul</v>
      </c>
      <c r="Q179">
        <f>MONTH(Table1[[#This Row],[Order Date]])</f>
        <v>7</v>
      </c>
    </row>
    <row r="180" spans="1:17" x14ac:dyDescent="0.25">
      <c r="A180" t="s">
        <v>510</v>
      </c>
      <c r="B180" s="2">
        <v>46136</v>
      </c>
      <c r="C180">
        <v>2026</v>
      </c>
      <c r="D180" t="s">
        <v>44</v>
      </c>
      <c r="E180" t="s">
        <v>116</v>
      </c>
      <c r="F180" t="s">
        <v>27</v>
      </c>
      <c r="G180" t="s">
        <v>28</v>
      </c>
      <c r="H180" t="s">
        <v>22</v>
      </c>
      <c r="I180" t="s">
        <v>29</v>
      </c>
      <c r="J180">
        <v>8</v>
      </c>
      <c r="K180">
        <v>137.65</v>
      </c>
      <c r="L180">
        <v>794.58</v>
      </c>
      <c r="M180">
        <f>Table1[[#This Row],[Quantity Sold]]*Table1[[#This Row],[Unit Price]]</f>
        <v>1101.2</v>
      </c>
      <c r="N180">
        <f>Table1[[#This Row],[Sales Amount]]-Table1[[#This Row],[Cost Amount]]</f>
        <v>306.62</v>
      </c>
      <c r="O180" t="str">
        <f>"Q"&amp;ROUNDUP(MONTH(Table1[[#This Row],[Order Date]])/3,0)</f>
        <v>Q2</v>
      </c>
      <c r="P180" t="str">
        <f>TEXT(Table1[[#This Row],[Order Date]],"MMM")</f>
        <v>Apr</v>
      </c>
      <c r="Q180">
        <f>MONTH(Table1[[#This Row],[Order Date]])</f>
        <v>4</v>
      </c>
    </row>
    <row r="181" spans="1:17" x14ac:dyDescent="0.25">
      <c r="A181" t="s">
        <v>511</v>
      </c>
      <c r="B181" s="2">
        <v>46138</v>
      </c>
      <c r="C181">
        <v>2026</v>
      </c>
      <c r="D181" t="s">
        <v>508</v>
      </c>
      <c r="E181" t="s">
        <v>512</v>
      </c>
      <c r="F181" t="s">
        <v>383</v>
      </c>
      <c r="G181" t="s">
        <v>384</v>
      </c>
      <c r="H181" t="s">
        <v>220</v>
      </c>
      <c r="I181" t="s">
        <v>52</v>
      </c>
      <c r="J181">
        <v>3</v>
      </c>
      <c r="K181">
        <v>402.81</v>
      </c>
      <c r="L181">
        <v>792.95</v>
      </c>
      <c r="M181">
        <f>Table1[[#This Row],[Quantity Sold]]*Table1[[#This Row],[Unit Price]]</f>
        <v>1208.43</v>
      </c>
      <c r="N181">
        <f>Table1[[#This Row],[Sales Amount]]-Table1[[#This Row],[Cost Amount]]</f>
        <v>415.48</v>
      </c>
      <c r="O181" t="str">
        <f>"Q"&amp;ROUNDUP(MONTH(Table1[[#This Row],[Order Date]])/3,0)</f>
        <v>Q2</v>
      </c>
      <c r="P181" t="str">
        <f>TEXT(Table1[[#This Row],[Order Date]],"MMM")</f>
        <v>Apr</v>
      </c>
      <c r="Q181">
        <f>MONTH(Table1[[#This Row],[Order Date]])</f>
        <v>4</v>
      </c>
    </row>
    <row r="182" spans="1:17" x14ac:dyDescent="0.25">
      <c r="A182" t="s">
        <v>513</v>
      </c>
      <c r="B182" s="2">
        <v>46222</v>
      </c>
      <c r="C182">
        <v>2026</v>
      </c>
      <c r="D182" t="s">
        <v>89</v>
      </c>
      <c r="E182" t="s">
        <v>514</v>
      </c>
      <c r="F182" t="s">
        <v>106</v>
      </c>
      <c r="G182" t="s">
        <v>107</v>
      </c>
      <c r="H182" t="s">
        <v>35</v>
      </c>
      <c r="I182" t="s">
        <v>52</v>
      </c>
      <c r="J182">
        <v>4</v>
      </c>
      <c r="K182">
        <v>77.87</v>
      </c>
      <c r="L182">
        <v>259.26</v>
      </c>
      <c r="M182">
        <f>Table1[[#This Row],[Quantity Sold]]*Table1[[#This Row],[Unit Price]]</f>
        <v>311.48</v>
      </c>
      <c r="N182">
        <f>Table1[[#This Row],[Sales Amount]]-Table1[[#This Row],[Cost Amount]]</f>
        <v>52.220000000000027</v>
      </c>
      <c r="O182" t="str">
        <f>"Q"&amp;ROUNDUP(MONTH(Table1[[#This Row],[Order Date]])/3,0)</f>
        <v>Q3</v>
      </c>
      <c r="P182" t="str">
        <f>TEXT(Table1[[#This Row],[Order Date]],"MMM")</f>
        <v>Jul</v>
      </c>
      <c r="Q182">
        <f>MONTH(Table1[[#This Row],[Order Date]])</f>
        <v>7</v>
      </c>
    </row>
    <row r="183" spans="1:17" x14ac:dyDescent="0.25">
      <c r="A183" t="s">
        <v>515</v>
      </c>
      <c r="B183" s="2">
        <v>46056</v>
      </c>
      <c r="C183">
        <v>2026</v>
      </c>
      <c r="D183" t="s">
        <v>316</v>
      </c>
      <c r="E183" t="s">
        <v>382</v>
      </c>
      <c r="F183" t="s">
        <v>56</v>
      </c>
      <c r="G183" t="s">
        <v>57</v>
      </c>
      <c r="H183" t="s">
        <v>51</v>
      </c>
      <c r="I183" t="s">
        <v>29</v>
      </c>
      <c r="J183">
        <v>5</v>
      </c>
      <c r="K183">
        <v>264.85000000000002</v>
      </c>
      <c r="L183">
        <v>924.16</v>
      </c>
      <c r="M183">
        <f>Table1[[#This Row],[Quantity Sold]]*Table1[[#This Row],[Unit Price]]</f>
        <v>1324.25</v>
      </c>
      <c r="N183">
        <f>Table1[[#This Row],[Sales Amount]]-Table1[[#This Row],[Cost Amount]]</f>
        <v>400.09000000000003</v>
      </c>
      <c r="O183" t="str">
        <f>"Q"&amp;ROUNDUP(MONTH(Table1[[#This Row],[Order Date]])/3,0)</f>
        <v>Q1</v>
      </c>
      <c r="P183" t="str">
        <f>TEXT(Table1[[#This Row],[Order Date]],"MMM")</f>
        <v>Feb</v>
      </c>
      <c r="Q183">
        <f>MONTH(Table1[[#This Row],[Order Date]])</f>
        <v>2</v>
      </c>
    </row>
    <row r="184" spans="1:17" x14ac:dyDescent="0.25">
      <c r="A184" t="s">
        <v>516</v>
      </c>
      <c r="B184" s="2">
        <v>46089</v>
      </c>
      <c r="C184">
        <v>2026</v>
      </c>
      <c r="D184" t="s">
        <v>147</v>
      </c>
      <c r="E184" t="s">
        <v>55</v>
      </c>
      <c r="F184" t="s">
        <v>517</v>
      </c>
      <c r="G184" t="s">
        <v>518</v>
      </c>
      <c r="H184" t="s">
        <v>220</v>
      </c>
      <c r="I184" t="s">
        <v>52</v>
      </c>
      <c r="J184">
        <v>17</v>
      </c>
      <c r="K184">
        <v>376.22</v>
      </c>
      <c r="L184">
        <v>3729.92</v>
      </c>
      <c r="M184">
        <f>Table1[[#This Row],[Quantity Sold]]*Table1[[#This Row],[Unit Price]]</f>
        <v>6395.7400000000007</v>
      </c>
      <c r="N184">
        <f>Table1[[#This Row],[Sales Amount]]-Table1[[#This Row],[Cost Amount]]</f>
        <v>2665.8200000000006</v>
      </c>
      <c r="O184" t="str">
        <f>"Q"&amp;ROUNDUP(MONTH(Table1[[#This Row],[Order Date]])/3,0)</f>
        <v>Q1</v>
      </c>
      <c r="P184" t="str">
        <f>TEXT(Table1[[#This Row],[Order Date]],"MMM")</f>
        <v>Mar</v>
      </c>
      <c r="Q184">
        <f>MONTH(Table1[[#This Row],[Order Date]])</f>
        <v>3</v>
      </c>
    </row>
    <row r="185" spans="1:17" x14ac:dyDescent="0.25">
      <c r="A185" t="s">
        <v>519</v>
      </c>
      <c r="B185" s="2">
        <v>46318</v>
      </c>
      <c r="C185">
        <v>2026</v>
      </c>
      <c r="D185" t="s">
        <v>157</v>
      </c>
      <c r="E185" t="s">
        <v>366</v>
      </c>
      <c r="F185" t="s">
        <v>215</v>
      </c>
      <c r="G185" t="s">
        <v>216</v>
      </c>
      <c r="H185" t="s">
        <v>51</v>
      </c>
      <c r="I185" t="s">
        <v>23</v>
      </c>
      <c r="J185">
        <v>20</v>
      </c>
      <c r="K185">
        <v>277.73</v>
      </c>
      <c r="L185">
        <v>3222.86</v>
      </c>
      <c r="M185">
        <f>Table1[[#This Row],[Quantity Sold]]*Table1[[#This Row],[Unit Price]]</f>
        <v>5554.6</v>
      </c>
      <c r="N185">
        <f>Table1[[#This Row],[Sales Amount]]-Table1[[#This Row],[Cost Amount]]</f>
        <v>2331.7400000000002</v>
      </c>
      <c r="O185" t="str">
        <f>"Q"&amp;ROUNDUP(MONTH(Table1[[#This Row],[Order Date]])/3,0)</f>
        <v>Q4</v>
      </c>
      <c r="P185" t="str">
        <f>TEXT(Table1[[#This Row],[Order Date]],"MMM")</f>
        <v>Oct</v>
      </c>
      <c r="Q185">
        <f>MONTH(Table1[[#This Row],[Order Date]])</f>
        <v>10</v>
      </c>
    </row>
    <row r="186" spans="1:17" x14ac:dyDescent="0.25">
      <c r="A186" t="s">
        <v>520</v>
      </c>
      <c r="B186" s="2">
        <v>46104</v>
      </c>
      <c r="C186">
        <v>2026</v>
      </c>
      <c r="D186" t="s">
        <v>362</v>
      </c>
      <c r="E186" t="s">
        <v>521</v>
      </c>
      <c r="F186" t="s">
        <v>159</v>
      </c>
      <c r="G186" t="s">
        <v>160</v>
      </c>
      <c r="H186" t="s">
        <v>51</v>
      </c>
      <c r="I186" t="s">
        <v>29</v>
      </c>
      <c r="J186">
        <v>18</v>
      </c>
      <c r="K186">
        <v>178.93</v>
      </c>
      <c r="L186">
        <v>1934.89</v>
      </c>
      <c r="M186">
        <f>Table1[[#This Row],[Quantity Sold]]*Table1[[#This Row],[Unit Price]]</f>
        <v>3220.7400000000002</v>
      </c>
      <c r="N186">
        <f>Table1[[#This Row],[Sales Amount]]-Table1[[#This Row],[Cost Amount]]</f>
        <v>1285.8500000000001</v>
      </c>
      <c r="O186" t="str">
        <f>"Q"&amp;ROUNDUP(MONTH(Table1[[#This Row],[Order Date]])/3,0)</f>
        <v>Q1</v>
      </c>
      <c r="P186" t="str">
        <f>TEXT(Table1[[#This Row],[Order Date]],"MMM")</f>
        <v>Mar</v>
      </c>
      <c r="Q186">
        <f>MONTH(Table1[[#This Row],[Order Date]])</f>
        <v>3</v>
      </c>
    </row>
    <row r="187" spans="1:17" x14ac:dyDescent="0.25">
      <c r="A187" t="s">
        <v>522</v>
      </c>
      <c r="B187" s="2">
        <v>46208</v>
      </c>
      <c r="C187">
        <v>2026</v>
      </c>
      <c r="D187" t="s">
        <v>268</v>
      </c>
      <c r="E187" t="s">
        <v>506</v>
      </c>
      <c r="F187" t="s">
        <v>139</v>
      </c>
      <c r="G187" t="s">
        <v>140</v>
      </c>
      <c r="H187" t="s">
        <v>22</v>
      </c>
      <c r="I187" t="s">
        <v>23</v>
      </c>
      <c r="J187">
        <v>4</v>
      </c>
      <c r="K187">
        <v>44.76</v>
      </c>
      <c r="L187">
        <v>98.19</v>
      </c>
      <c r="M187">
        <f>Table1[[#This Row],[Quantity Sold]]*Table1[[#This Row],[Unit Price]]</f>
        <v>179.04</v>
      </c>
      <c r="N187">
        <f>Table1[[#This Row],[Sales Amount]]-Table1[[#This Row],[Cost Amount]]</f>
        <v>80.849999999999994</v>
      </c>
      <c r="O187" t="str">
        <f>"Q"&amp;ROUNDUP(MONTH(Table1[[#This Row],[Order Date]])/3,0)</f>
        <v>Q3</v>
      </c>
      <c r="P187" t="str">
        <f>TEXT(Table1[[#This Row],[Order Date]],"MMM")</f>
        <v>Jul</v>
      </c>
      <c r="Q187">
        <f>MONTH(Table1[[#This Row],[Order Date]])</f>
        <v>7</v>
      </c>
    </row>
    <row r="188" spans="1:17" x14ac:dyDescent="0.25">
      <c r="A188" t="s">
        <v>523</v>
      </c>
      <c r="B188" s="2">
        <v>46357</v>
      </c>
      <c r="C188">
        <v>2026</v>
      </c>
      <c r="D188" t="s">
        <v>271</v>
      </c>
      <c r="E188" t="s">
        <v>113</v>
      </c>
      <c r="F188" t="s">
        <v>169</v>
      </c>
      <c r="G188" t="s">
        <v>170</v>
      </c>
      <c r="H188" t="s">
        <v>22</v>
      </c>
      <c r="I188" t="s">
        <v>29</v>
      </c>
      <c r="J188">
        <v>10</v>
      </c>
      <c r="K188">
        <v>495.46</v>
      </c>
      <c r="L188">
        <v>2775.05</v>
      </c>
      <c r="M188">
        <f>Table1[[#This Row],[Quantity Sold]]*Table1[[#This Row],[Unit Price]]</f>
        <v>4954.5999999999995</v>
      </c>
      <c r="N188">
        <f>Table1[[#This Row],[Sales Amount]]-Table1[[#This Row],[Cost Amount]]</f>
        <v>2179.5499999999993</v>
      </c>
      <c r="O188" t="str">
        <f>"Q"&amp;ROUNDUP(MONTH(Table1[[#This Row],[Order Date]])/3,0)</f>
        <v>Q4</v>
      </c>
      <c r="P188" t="str">
        <f>TEXT(Table1[[#This Row],[Order Date]],"MMM")</f>
        <v>Dec</v>
      </c>
      <c r="Q188">
        <f>MONTH(Table1[[#This Row],[Order Date]])</f>
        <v>12</v>
      </c>
    </row>
    <row r="189" spans="1:17" x14ac:dyDescent="0.25">
      <c r="A189" t="s">
        <v>524</v>
      </c>
      <c r="B189" s="2">
        <v>46371</v>
      </c>
      <c r="C189">
        <v>2026</v>
      </c>
      <c r="D189" t="s">
        <v>365</v>
      </c>
      <c r="E189" t="s">
        <v>525</v>
      </c>
      <c r="F189" t="s">
        <v>233</v>
      </c>
      <c r="G189" t="s">
        <v>234</v>
      </c>
      <c r="H189" t="s">
        <v>51</v>
      </c>
      <c r="I189" t="s">
        <v>29</v>
      </c>
      <c r="J189">
        <v>3</v>
      </c>
      <c r="K189">
        <v>239.58</v>
      </c>
      <c r="L189">
        <v>584.9</v>
      </c>
      <c r="M189">
        <f>Table1[[#This Row],[Quantity Sold]]*Table1[[#This Row],[Unit Price]]</f>
        <v>718.74</v>
      </c>
      <c r="N189">
        <f>Table1[[#This Row],[Sales Amount]]-Table1[[#This Row],[Cost Amount]]</f>
        <v>133.84000000000003</v>
      </c>
      <c r="O189" t="str">
        <f>"Q"&amp;ROUNDUP(MONTH(Table1[[#This Row],[Order Date]])/3,0)</f>
        <v>Q4</v>
      </c>
      <c r="P189" t="str">
        <f>TEXT(Table1[[#This Row],[Order Date]],"MMM")</f>
        <v>Dec</v>
      </c>
      <c r="Q189">
        <f>MONTH(Table1[[#This Row],[Order Date]])</f>
        <v>12</v>
      </c>
    </row>
    <row r="190" spans="1:17" x14ac:dyDescent="0.25">
      <c r="A190" t="s">
        <v>526</v>
      </c>
      <c r="B190" s="2">
        <v>46098</v>
      </c>
      <c r="C190">
        <v>2026</v>
      </c>
      <c r="D190" t="s">
        <v>527</v>
      </c>
      <c r="E190" t="s">
        <v>528</v>
      </c>
      <c r="F190" t="s">
        <v>484</v>
      </c>
      <c r="G190" t="s">
        <v>485</v>
      </c>
      <c r="H190" t="s">
        <v>97</v>
      </c>
      <c r="I190" t="s">
        <v>23</v>
      </c>
      <c r="J190">
        <v>9</v>
      </c>
      <c r="K190">
        <v>396.31</v>
      </c>
      <c r="L190">
        <v>2657.78</v>
      </c>
      <c r="M190">
        <f>Table1[[#This Row],[Quantity Sold]]*Table1[[#This Row],[Unit Price]]</f>
        <v>3566.79</v>
      </c>
      <c r="N190">
        <f>Table1[[#This Row],[Sales Amount]]-Table1[[#This Row],[Cost Amount]]</f>
        <v>909.00999999999976</v>
      </c>
      <c r="O190" t="str">
        <f>"Q"&amp;ROUNDUP(MONTH(Table1[[#This Row],[Order Date]])/3,0)</f>
        <v>Q1</v>
      </c>
      <c r="P190" t="str">
        <f>TEXT(Table1[[#This Row],[Order Date]],"MMM")</f>
        <v>Mar</v>
      </c>
      <c r="Q190">
        <f>MONTH(Table1[[#This Row],[Order Date]])</f>
        <v>3</v>
      </c>
    </row>
    <row r="191" spans="1:17" x14ac:dyDescent="0.25">
      <c r="A191" t="s">
        <v>529</v>
      </c>
      <c r="B191" s="2">
        <v>46380</v>
      </c>
      <c r="C191">
        <v>2026</v>
      </c>
      <c r="D191" t="s">
        <v>530</v>
      </c>
      <c r="E191" t="s">
        <v>45</v>
      </c>
      <c r="F191" t="s">
        <v>101</v>
      </c>
      <c r="G191" t="s">
        <v>102</v>
      </c>
      <c r="H191" t="s">
        <v>22</v>
      </c>
      <c r="I191" t="s">
        <v>42</v>
      </c>
      <c r="J191">
        <v>12</v>
      </c>
      <c r="K191">
        <v>282.08999999999997</v>
      </c>
      <c r="L191">
        <v>2201.5700000000002</v>
      </c>
      <c r="M191">
        <f>Table1[[#This Row],[Quantity Sold]]*Table1[[#This Row],[Unit Price]]</f>
        <v>3385.08</v>
      </c>
      <c r="N191">
        <f>Table1[[#This Row],[Sales Amount]]-Table1[[#This Row],[Cost Amount]]</f>
        <v>1183.5099999999998</v>
      </c>
      <c r="O191" t="str">
        <f>"Q"&amp;ROUNDUP(MONTH(Table1[[#This Row],[Order Date]])/3,0)</f>
        <v>Q4</v>
      </c>
      <c r="P191" t="str">
        <f>TEXT(Table1[[#This Row],[Order Date]],"MMM")</f>
        <v>Dec</v>
      </c>
      <c r="Q191">
        <f>MONTH(Table1[[#This Row],[Order Date]])</f>
        <v>12</v>
      </c>
    </row>
    <row r="192" spans="1:17" x14ac:dyDescent="0.25">
      <c r="A192" t="s">
        <v>531</v>
      </c>
      <c r="B192" s="2">
        <v>46115</v>
      </c>
      <c r="C192">
        <v>2026</v>
      </c>
      <c r="D192" t="s">
        <v>137</v>
      </c>
      <c r="E192" t="s">
        <v>506</v>
      </c>
      <c r="F192" t="s">
        <v>229</v>
      </c>
      <c r="G192" t="s">
        <v>230</v>
      </c>
      <c r="H192" t="s">
        <v>35</v>
      </c>
      <c r="I192" t="s">
        <v>42</v>
      </c>
      <c r="J192">
        <v>6</v>
      </c>
      <c r="K192">
        <v>192.45</v>
      </c>
      <c r="L192">
        <v>888.68</v>
      </c>
      <c r="M192">
        <f>Table1[[#This Row],[Quantity Sold]]*Table1[[#This Row],[Unit Price]]</f>
        <v>1154.6999999999998</v>
      </c>
      <c r="N192">
        <f>Table1[[#This Row],[Sales Amount]]-Table1[[#This Row],[Cost Amount]]</f>
        <v>266.01999999999987</v>
      </c>
      <c r="O192" t="str">
        <f>"Q"&amp;ROUNDUP(MONTH(Table1[[#This Row],[Order Date]])/3,0)</f>
        <v>Q2</v>
      </c>
      <c r="P192" t="str">
        <f>TEXT(Table1[[#This Row],[Order Date]],"MMM")</f>
        <v>Apr</v>
      </c>
      <c r="Q192">
        <f>MONTH(Table1[[#This Row],[Order Date]])</f>
        <v>4</v>
      </c>
    </row>
    <row r="193" spans="1:17" x14ac:dyDescent="0.25">
      <c r="A193" t="s">
        <v>532</v>
      </c>
      <c r="B193" s="2">
        <v>46256</v>
      </c>
      <c r="C193">
        <v>2026</v>
      </c>
      <c r="D193" t="s">
        <v>346</v>
      </c>
      <c r="E193" t="s">
        <v>533</v>
      </c>
      <c r="F193" t="s">
        <v>215</v>
      </c>
      <c r="G193" t="s">
        <v>216</v>
      </c>
      <c r="H193" t="s">
        <v>51</v>
      </c>
      <c r="I193" t="s">
        <v>52</v>
      </c>
      <c r="J193">
        <v>15</v>
      </c>
      <c r="K193">
        <v>110.7</v>
      </c>
      <c r="L193">
        <v>1149.77</v>
      </c>
      <c r="M193">
        <f>Table1[[#This Row],[Quantity Sold]]*Table1[[#This Row],[Unit Price]]</f>
        <v>1660.5</v>
      </c>
      <c r="N193">
        <f>Table1[[#This Row],[Sales Amount]]-Table1[[#This Row],[Cost Amount]]</f>
        <v>510.73</v>
      </c>
      <c r="O193" t="str">
        <f>"Q"&amp;ROUNDUP(MONTH(Table1[[#This Row],[Order Date]])/3,0)</f>
        <v>Q3</v>
      </c>
      <c r="P193" t="str">
        <f>TEXT(Table1[[#This Row],[Order Date]],"MMM")</f>
        <v>Aug</v>
      </c>
      <c r="Q193">
        <f>MONTH(Table1[[#This Row],[Order Date]])</f>
        <v>8</v>
      </c>
    </row>
    <row r="194" spans="1:17" x14ac:dyDescent="0.25">
      <c r="A194" t="s">
        <v>534</v>
      </c>
      <c r="B194" s="2">
        <v>46362</v>
      </c>
      <c r="C194">
        <v>2026</v>
      </c>
      <c r="D194" t="s">
        <v>25</v>
      </c>
      <c r="E194" t="s">
        <v>168</v>
      </c>
      <c r="F194" t="s">
        <v>159</v>
      </c>
      <c r="G194" t="s">
        <v>160</v>
      </c>
      <c r="H194" t="s">
        <v>51</v>
      </c>
      <c r="I194" t="s">
        <v>42</v>
      </c>
      <c r="J194">
        <v>11</v>
      </c>
      <c r="K194">
        <v>486.56</v>
      </c>
      <c r="L194">
        <v>3415.88</v>
      </c>
      <c r="M194">
        <f>Table1[[#This Row],[Quantity Sold]]*Table1[[#This Row],[Unit Price]]</f>
        <v>5352.16</v>
      </c>
      <c r="N194">
        <f>Table1[[#This Row],[Sales Amount]]-Table1[[#This Row],[Cost Amount]]</f>
        <v>1936.2799999999997</v>
      </c>
      <c r="O194" t="str">
        <f>"Q"&amp;ROUNDUP(MONTH(Table1[[#This Row],[Order Date]])/3,0)</f>
        <v>Q4</v>
      </c>
      <c r="P194" t="str">
        <f>TEXT(Table1[[#This Row],[Order Date]],"MMM")</f>
        <v>Dec</v>
      </c>
      <c r="Q194">
        <f>MONTH(Table1[[#This Row],[Order Date]])</f>
        <v>12</v>
      </c>
    </row>
    <row r="195" spans="1:17" x14ac:dyDescent="0.25">
      <c r="A195" t="s">
        <v>535</v>
      </c>
      <c r="B195" s="2">
        <v>46291</v>
      </c>
      <c r="C195">
        <v>2026</v>
      </c>
      <c r="D195" t="s">
        <v>81</v>
      </c>
      <c r="E195" t="s">
        <v>536</v>
      </c>
      <c r="F195" t="s">
        <v>33</v>
      </c>
      <c r="G195" t="s">
        <v>34</v>
      </c>
      <c r="H195" t="s">
        <v>35</v>
      </c>
      <c r="I195" t="s">
        <v>23</v>
      </c>
      <c r="J195">
        <v>10</v>
      </c>
      <c r="K195">
        <v>258.76</v>
      </c>
      <c r="L195">
        <v>2005</v>
      </c>
      <c r="M195">
        <f>Table1[[#This Row],[Quantity Sold]]*Table1[[#This Row],[Unit Price]]</f>
        <v>2587.6</v>
      </c>
      <c r="N195">
        <f>Table1[[#This Row],[Sales Amount]]-Table1[[#This Row],[Cost Amount]]</f>
        <v>582.59999999999991</v>
      </c>
      <c r="O195" t="str">
        <f>"Q"&amp;ROUNDUP(MONTH(Table1[[#This Row],[Order Date]])/3,0)</f>
        <v>Q3</v>
      </c>
      <c r="P195" t="str">
        <f>TEXT(Table1[[#This Row],[Order Date]],"MMM")</f>
        <v>Sep</v>
      </c>
      <c r="Q195">
        <f>MONTH(Table1[[#This Row],[Order Date]])</f>
        <v>9</v>
      </c>
    </row>
    <row r="196" spans="1:17" x14ac:dyDescent="0.25">
      <c r="A196" t="s">
        <v>537</v>
      </c>
      <c r="B196" s="2">
        <v>46298</v>
      </c>
      <c r="C196">
        <v>2026</v>
      </c>
      <c r="D196" t="s">
        <v>284</v>
      </c>
      <c r="E196" t="s">
        <v>119</v>
      </c>
      <c r="F196" t="s">
        <v>249</v>
      </c>
      <c r="G196" t="s">
        <v>250</v>
      </c>
      <c r="H196" t="s">
        <v>51</v>
      </c>
      <c r="I196" t="s">
        <v>29</v>
      </c>
      <c r="J196">
        <v>12</v>
      </c>
      <c r="K196">
        <v>342.59</v>
      </c>
      <c r="L196">
        <v>2979.09</v>
      </c>
      <c r="M196">
        <f>Table1[[#This Row],[Quantity Sold]]*Table1[[#This Row],[Unit Price]]</f>
        <v>4111.08</v>
      </c>
      <c r="N196">
        <f>Table1[[#This Row],[Sales Amount]]-Table1[[#This Row],[Cost Amount]]</f>
        <v>1131.9899999999998</v>
      </c>
      <c r="O196" t="str">
        <f>"Q"&amp;ROUNDUP(MONTH(Table1[[#This Row],[Order Date]])/3,0)</f>
        <v>Q4</v>
      </c>
      <c r="P196" t="str">
        <f>TEXT(Table1[[#This Row],[Order Date]],"MMM")</f>
        <v>Oct</v>
      </c>
      <c r="Q196">
        <f>MONTH(Table1[[#This Row],[Order Date]])</f>
        <v>10</v>
      </c>
    </row>
    <row r="197" spans="1:17" x14ac:dyDescent="0.25">
      <c r="A197" t="s">
        <v>538</v>
      </c>
      <c r="B197" s="2">
        <v>46163</v>
      </c>
      <c r="C197">
        <v>2026</v>
      </c>
      <c r="D197" t="s">
        <v>115</v>
      </c>
      <c r="E197" t="s">
        <v>539</v>
      </c>
      <c r="F197" t="s">
        <v>72</v>
      </c>
      <c r="G197" t="s">
        <v>73</v>
      </c>
      <c r="H197" t="s">
        <v>41</v>
      </c>
      <c r="I197" t="s">
        <v>29</v>
      </c>
      <c r="J197">
        <v>20</v>
      </c>
      <c r="K197">
        <v>213.11</v>
      </c>
      <c r="L197">
        <v>3083.51</v>
      </c>
      <c r="M197">
        <f>Table1[[#This Row],[Quantity Sold]]*Table1[[#This Row],[Unit Price]]</f>
        <v>4262.2000000000007</v>
      </c>
      <c r="N197">
        <f>Table1[[#This Row],[Sales Amount]]-Table1[[#This Row],[Cost Amount]]</f>
        <v>1178.6900000000005</v>
      </c>
      <c r="O197" t="str">
        <f>"Q"&amp;ROUNDUP(MONTH(Table1[[#This Row],[Order Date]])/3,0)</f>
        <v>Q2</v>
      </c>
      <c r="P197" t="str">
        <f>TEXT(Table1[[#This Row],[Order Date]],"MMM")</f>
        <v>May</v>
      </c>
      <c r="Q197">
        <f>MONTH(Table1[[#This Row],[Order Date]])</f>
        <v>5</v>
      </c>
    </row>
    <row r="198" spans="1:17" x14ac:dyDescent="0.25">
      <c r="A198" t="s">
        <v>540</v>
      </c>
      <c r="B198" s="2">
        <v>46124</v>
      </c>
      <c r="C198">
        <v>2026</v>
      </c>
      <c r="D198" t="s">
        <v>541</v>
      </c>
      <c r="E198" t="s">
        <v>542</v>
      </c>
      <c r="F198" t="s">
        <v>517</v>
      </c>
      <c r="G198" t="s">
        <v>518</v>
      </c>
      <c r="H198" t="s">
        <v>220</v>
      </c>
      <c r="I198" t="s">
        <v>23</v>
      </c>
      <c r="J198">
        <v>4</v>
      </c>
      <c r="K198">
        <v>143.11000000000001</v>
      </c>
      <c r="L198">
        <v>465.64</v>
      </c>
      <c r="M198">
        <f>Table1[[#This Row],[Quantity Sold]]*Table1[[#This Row],[Unit Price]]</f>
        <v>572.44000000000005</v>
      </c>
      <c r="N198">
        <f>Table1[[#This Row],[Sales Amount]]-Table1[[#This Row],[Cost Amount]]</f>
        <v>106.80000000000007</v>
      </c>
      <c r="O198" t="str">
        <f>"Q"&amp;ROUNDUP(MONTH(Table1[[#This Row],[Order Date]])/3,0)</f>
        <v>Q2</v>
      </c>
      <c r="P198" t="str">
        <f>TEXT(Table1[[#This Row],[Order Date]],"MMM")</f>
        <v>Apr</v>
      </c>
      <c r="Q198">
        <f>MONTH(Table1[[#This Row],[Order Date]])</f>
        <v>4</v>
      </c>
    </row>
    <row r="199" spans="1:17" x14ac:dyDescent="0.25">
      <c r="A199" t="s">
        <v>543</v>
      </c>
      <c r="B199" s="2">
        <v>46121</v>
      </c>
      <c r="C199">
        <v>2026</v>
      </c>
      <c r="D199" t="s">
        <v>404</v>
      </c>
      <c r="E199" t="s">
        <v>544</v>
      </c>
      <c r="F199" t="s">
        <v>154</v>
      </c>
      <c r="G199" t="s">
        <v>155</v>
      </c>
      <c r="H199" t="s">
        <v>68</v>
      </c>
      <c r="I199" t="s">
        <v>29</v>
      </c>
      <c r="J199">
        <v>15</v>
      </c>
      <c r="K199">
        <v>76.92</v>
      </c>
      <c r="L199">
        <v>721.61</v>
      </c>
      <c r="M199">
        <f>Table1[[#This Row],[Quantity Sold]]*Table1[[#This Row],[Unit Price]]</f>
        <v>1153.8</v>
      </c>
      <c r="N199">
        <f>Table1[[#This Row],[Sales Amount]]-Table1[[#This Row],[Cost Amount]]</f>
        <v>432.18999999999994</v>
      </c>
      <c r="O199" t="str">
        <f>"Q"&amp;ROUNDUP(MONTH(Table1[[#This Row],[Order Date]])/3,0)</f>
        <v>Q2</v>
      </c>
      <c r="P199" t="str">
        <f>TEXT(Table1[[#This Row],[Order Date]],"MMM")</f>
        <v>Apr</v>
      </c>
      <c r="Q199">
        <f>MONTH(Table1[[#This Row],[Order Date]])</f>
        <v>4</v>
      </c>
    </row>
    <row r="200" spans="1:17" x14ac:dyDescent="0.25">
      <c r="A200" t="s">
        <v>545</v>
      </c>
      <c r="B200" s="2">
        <v>46254</v>
      </c>
      <c r="C200">
        <v>2026</v>
      </c>
      <c r="D200" t="s">
        <v>379</v>
      </c>
      <c r="E200" t="s">
        <v>546</v>
      </c>
      <c r="F200" t="s">
        <v>317</v>
      </c>
      <c r="G200" t="s">
        <v>318</v>
      </c>
      <c r="H200" t="s">
        <v>22</v>
      </c>
      <c r="I200" t="s">
        <v>42</v>
      </c>
      <c r="J200">
        <v>1</v>
      </c>
      <c r="K200">
        <v>161.99</v>
      </c>
      <c r="L200">
        <v>113.57</v>
      </c>
      <c r="M200">
        <f>Table1[[#This Row],[Quantity Sold]]*Table1[[#This Row],[Unit Price]]</f>
        <v>161.99</v>
      </c>
      <c r="N200">
        <f>Table1[[#This Row],[Sales Amount]]-Table1[[#This Row],[Cost Amount]]</f>
        <v>48.420000000000016</v>
      </c>
      <c r="O200" t="str">
        <f>"Q"&amp;ROUNDUP(MONTH(Table1[[#This Row],[Order Date]])/3,0)</f>
        <v>Q3</v>
      </c>
      <c r="P200" t="str">
        <f>TEXT(Table1[[#This Row],[Order Date]],"MMM")</f>
        <v>Aug</v>
      </c>
      <c r="Q200">
        <f>MONTH(Table1[[#This Row],[Order Date]])</f>
        <v>8</v>
      </c>
    </row>
    <row r="201" spans="1:17" x14ac:dyDescent="0.25">
      <c r="A201" t="s">
        <v>547</v>
      </c>
      <c r="B201" s="2">
        <v>46061</v>
      </c>
      <c r="C201">
        <v>2026</v>
      </c>
      <c r="D201" t="s">
        <v>417</v>
      </c>
      <c r="E201" t="s">
        <v>402</v>
      </c>
      <c r="F201" t="s">
        <v>484</v>
      </c>
      <c r="G201" t="s">
        <v>485</v>
      </c>
      <c r="H201" t="s">
        <v>97</v>
      </c>
      <c r="I201" t="s">
        <v>23</v>
      </c>
      <c r="J201">
        <v>2</v>
      </c>
      <c r="K201">
        <v>403.73</v>
      </c>
      <c r="L201">
        <v>671.14</v>
      </c>
      <c r="M201">
        <f>Table1[[#This Row],[Quantity Sold]]*Table1[[#This Row],[Unit Price]]</f>
        <v>807.46</v>
      </c>
      <c r="N201">
        <f>Table1[[#This Row],[Sales Amount]]-Table1[[#This Row],[Cost Amount]]</f>
        <v>136.32000000000005</v>
      </c>
      <c r="O201" t="str">
        <f>"Q"&amp;ROUNDUP(MONTH(Table1[[#This Row],[Order Date]])/3,0)</f>
        <v>Q1</v>
      </c>
      <c r="P201" t="str">
        <f>TEXT(Table1[[#This Row],[Order Date]],"MMM")</f>
        <v>Feb</v>
      </c>
      <c r="Q201">
        <f>MONTH(Table1[[#This Row],[Order Date]])</f>
        <v>2</v>
      </c>
    </row>
    <row r="202" spans="1:17" x14ac:dyDescent="0.25">
      <c r="A202" t="s">
        <v>548</v>
      </c>
      <c r="B202" s="2">
        <v>46117</v>
      </c>
      <c r="C202">
        <v>2026</v>
      </c>
      <c r="D202" t="s">
        <v>377</v>
      </c>
      <c r="E202" t="s">
        <v>252</v>
      </c>
      <c r="F202" t="s">
        <v>33</v>
      </c>
      <c r="G202" t="s">
        <v>34</v>
      </c>
      <c r="H202" t="s">
        <v>35</v>
      </c>
      <c r="I202" t="s">
        <v>42</v>
      </c>
      <c r="J202">
        <v>8</v>
      </c>
      <c r="K202">
        <v>282.26</v>
      </c>
      <c r="L202">
        <v>1532.64</v>
      </c>
      <c r="M202">
        <f>Table1[[#This Row],[Quantity Sold]]*Table1[[#This Row],[Unit Price]]</f>
        <v>2258.08</v>
      </c>
      <c r="N202">
        <f>Table1[[#This Row],[Sales Amount]]-Table1[[#This Row],[Cost Amount]]</f>
        <v>725.43999999999983</v>
      </c>
      <c r="O202" t="str">
        <f>"Q"&amp;ROUNDUP(MONTH(Table1[[#This Row],[Order Date]])/3,0)</f>
        <v>Q2</v>
      </c>
      <c r="P202" t="str">
        <f>TEXT(Table1[[#This Row],[Order Date]],"MMM")</f>
        <v>Apr</v>
      </c>
      <c r="Q202">
        <f>MONTH(Table1[[#This Row],[Order Date]])</f>
        <v>4</v>
      </c>
    </row>
    <row r="203" spans="1:17" x14ac:dyDescent="0.25">
      <c r="A203" t="s">
        <v>549</v>
      </c>
      <c r="B203" s="2">
        <v>46040</v>
      </c>
      <c r="C203">
        <v>2026</v>
      </c>
      <c r="D203" t="s">
        <v>268</v>
      </c>
      <c r="E203" t="s">
        <v>550</v>
      </c>
      <c r="F203" t="s">
        <v>186</v>
      </c>
      <c r="G203" t="s">
        <v>187</v>
      </c>
      <c r="H203" t="s">
        <v>97</v>
      </c>
      <c r="I203" t="s">
        <v>52</v>
      </c>
      <c r="J203">
        <v>15</v>
      </c>
      <c r="K203">
        <v>230.1</v>
      </c>
      <c r="L203">
        <v>2615.1</v>
      </c>
      <c r="M203">
        <f>Table1[[#This Row],[Quantity Sold]]*Table1[[#This Row],[Unit Price]]</f>
        <v>3451.5</v>
      </c>
      <c r="N203">
        <f>Table1[[#This Row],[Sales Amount]]-Table1[[#This Row],[Cost Amount]]</f>
        <v>836.40000000000009</v>
      </c>
      <c r="O203" t="str">
        <f>"Q"&amp;ROUNDUP(MONTH(Table1[[#This Row],[Order Date]])/3,0)</f>
        <v>Q1</v>
      </c>
      <c r="P203" t="str">
        <f>TEXT(Table1[[#This Row],[Order Date]],"MMM")</f>
        <v>Jan</v>
      </c>
      <c r="Q203">
        <f>MONTH(Table1[[#This Row],[Order Date]])</f>
        <v>1</v>
      </c>
    </row>
    <row r="204" spans="1:17" x14ac:dyDescent="0.25">
      <c r="A204" t="s">
        <v>551</v>
      </c>
      <c r="B204" s="2">
        <v>46332</v>
      </c>
      <c r="C204">
        <v>2026</v>
      </c>
      <c r="D204" t="s">
        <v>552</v>
      </c>
      <c r="E204" t="s">
        <v>542</v>
      </c>
      <c r="F204" t="s">
        <v>139</v>
      </c>
      <c r="G204" t="s">
        <v>140</v>
      </c>
      <c r="H204" t="s">
        <v>22</v>
      </c>
      <c r="I204" t="s">
        <v>52</v>
      </c>
      <c r="J204">
        <v>2</v>
      </c>
      <c r="K204">
        <v>88.36</v>
      </c>
      <c r="L204">
        <v>122.85</v>
      </c>
      <c r="M204">
        <f>Table1[[#This Row],[Quantity Sold]]*Table1[[#This Row],[Unit Price]]</f>
        <v>176.72</v>
      </c>
      <c r="N204">
        <f>Table1[[#This Row],[Sales Amount]]-Table1[[#This Row],[Cost Amount]]</f>
        <v>53.870000000000005</v>
      </c>
      <c r="O204" t="str">
        <f>"Q"&amp;ROUNDUP(MONTH(Table1[[#This Row],[Order Date]])/3,0)</f>
        <v>Q4</v>
      </c>
      <c r="P204" t="str">
        <f>TEXT(Table1[[#This Row],[Order Date]],"MMM")</f>
        <v>Nov</v>
      </c>
      <c r="Q204">
        <f>MONTH(Table1[[#This Row],[Order Date]])</f>
        <v>11</v>
      </c>
    </row>
    <row r="205" spans="1:17" x14ac:dyDescent="0.25">
      <c r="A205" t="s">
        <v>553</v>
      </c>
      <c r="B205" s="2">
        <v>46383</v>
      </c>
      <c r="C205">
        <v>2026</v>
      </c>
      <c r="D205" t="s">
        <v>206</v>
      </c>
      <c r="E205" t="s">
        <v>554</v>
      </c>
      <c r="F205" t="s">
        <v>383</v>
      </c>
      <c r="G205" t="s">
        <v>384</v>
      </c>
      <c r="H205" t="s">
        <v>220</v>
      </c>
      <c r="I205" t="s">
        <v>42</v>
      </c>
      <c r="J205">
        <v>7</v>
      </c>
      <c r="K205">
        <v>478.81</v>
      </c>
      <c r="L205">
        <v>2028.75</v>
      </c>
      <c r="M205">
        <f>Table1[[#This Row],[Quantity Sold]]*Table1[[#This Row],[Unit Price]]</f>
        <v>3351.67</v>
      </c>
      <c r="N205">
        <f>Table1[[#This Row],[Sales Amount]]-Table1[[#This Row],[Cost Amount]]</f>
        <v>1322.92</v>
      </c>
      <c r="O205" t="str">
        <f>"Q"&amp;ROUNDUP(MONTH(Table1[[#This Row],[Order Date]])/3,0)</f>
        <v>Q4</v>
      </c>
      <c r="P205" t="str">
        <f>TEXT(Table1[[#This Row],[Order Date]],"MMM")</f>
        <v>Dec</v>
      </c>
      <c r="Q205">
        <f>MONTH(Table1[[#This Row],[Order Date]])</f>
        <v>12</v>
      </c>
    </row>
    <row r="206" spans="1:17" x14ac:dyDescent="0.25">
      <c r="A206" t="s">
        <v>555</v>
      </c>
      <c r="B206" s="2">
        <v>46329</v>
      </c>
      <c r="C206">
        <v>2026</v>
      </c>
      <c r="D206" t="s">
        <v>288</v>
      </c>
      <c r="E206" t="s">
        <v>48</v>
      </c>
      <c r="F206" t="s">
        <v>399</v>
      </c>
      <c r="G206" t="s">
        <v>400</v>
      </c>
      <c r="H206" t="s">
        <v>22</v>
      </c>
      <c r="I206" t="s">
        <v>23</v>
      </c>
      <c r="J206">
        <v>7</v>
      </c>
      <c r="K206">
        <v>339.79</v>
      </c>
      <c r="L206">
        <v>1733.63</v>
      </c>
      <c r="M206">
        <f>Table1[[#This Row],[Quantity Sold]]*Table1[[#This Row],[Unit Price]]</f>
        <v>2378.5300000000002</v>
      </c>
      <c r="N206">
        <f>Table1[[#This Row],[Sales Amount]]-Table1[[#This Row],[Cost Amount]]</f>
        <v>644.90000000000009</v>
      </c>
      <c r="O206" t="str">
        <f>"Q"&amp;ROUNDUP(MONTH(Table1[[#This Row],[Order Date]])/3,0)</f>
        <v>Q4</v>
      </c>
      <c r="P206" t="str">
        <f>TEXT(Table1[[#This Row],[Order Date]],"MMM")</f>
        <v>Nov</v>
      </c>
      <c r="Q206">
        <f>MONTH(Table1[[#This Row],[Order Date]])</f>
        <v>11</v>
      </c>
    </row>
    <row r="207" spans="1:17" x14ac:dyDescent="0.25">
      <c r="A207" t="s">
        <v>556</v>
      </c>
      <c r="B207" s="2">
        <v>46120</v>
      </c>
      <c r="C207">
        <v>2026</v>
      </c>
      <c r="D207" t="s">
        <v>268</v>
      </c>
      <c r="E207" t="s">
        <v>557</v>
      </c>
      <c r="F207" t="s">
        <v>154</v>
      </c>
      <c r="G207" t="s">
        <v>155</v>
      </c>
      <c r="H207" t="s">
        <v>68</v>
      </c>
      <c r="I207" t="s">
        <v>29</v>
      </c>
      <c r="J207">
        <v>11</v>
      </c>
      <c r="K207">
        <v>277.77999999999997</v>
      </c>
      <c r="L207">
        <v>2444.86</v>
      </c>
      <c r="M207">
        <f>Table1[[#This Row],[Quantity Sold]]*Table1[[#This Row],[Unit Price]]</f>
        <v>3055.58</v>
      </c>
      <c r="N207">
        <f>Table1[[#This Row],[Sales Amount]]-Table1[[#This Row],[Cost Amount]]</f>
        <v>610.7199999999998</v>
      </c>
      <c r="O207" t="str">
        <f>"Q"&amp;ROUNDUP(MONTH(Table1[[#This Row],[Order Date]])/3,0)</f>
        <v>Q2</v>
      </c>
      <c r="P207" t="str">
        <f>TEXT(Table1[[#This Row],[Order Date]],"MMM")</f>
        <v>Apr</v>
      </c>
      <c r="Q207">
        <f>MONTH(Table1[[#This Row],[Order Date]])</f>
        <v>4</v>
      </c>
    </row>
    <row r="208" spans="1:17" x14ac:dyDescent="0.25">
      <c r="A208" t="s">
        <v>558</v>
      </c>
      <c r="B208" s="2">
        <v>46129</v>
      </c>
      <c r="C208">
        <v>2026</v>
      </c>
      <c r="D208" t="s">
        <v>559</v>
      </c>
      <c r="E208" t="s">
        <v>560</v>
      </c>
      <c r="F208" t="s">
        <v>173</v>
      </c>
      <c r="G208" t="s">
        <v>174</v>
      </c>
      <c r="H208" t="s">
        <v>22</v>
      </c>
      <c r="I208" t="s">
        <v>29</v>
      </c>
      <c r="J208">
        <v>4</v>
      </c>
      <c r="K208">
        <v>396.2</v>
      </c>
      <c r="L208">
        <v>1138.72</v>
      </c>
      <c r="M208">
        <f>Table1[[#This Row],[Quantity Sold]]*Table1[[#This Row],[Unit Price]]</f>
        <v>1584.8</v>
      </c>
      <c r="N208">
        <f>Table1[[#This Row],[Sales Amount]]-Table1[[#This Row],[Cost Amount]]</f>
        <v>446.07999999999993</v>
      </c>
      <c r="O208" t="str">
        <f>"Q"&amp;ROUNDUP(MONTH(Table1[[#This Row],[Order Date]])/3,0)</f>
        <v>Q2</v>
      </c>
      <c r="P208" t="str">
        <f>TEXT(Table1[[#This Row],[Order Date]],"MMM")</f>
        <v>Apr</v>
      </c>
      <c r="Q208">
        <f>MONTH(Table1[[#This Row],[Order Date]])</f>
        <v>4</v>
      </c>
    </row>
    <row r="209" spans="1:17" x14ac:dyDescent="0.25">
      <c r="A209" t="s">
        <v>561</v>
      </c>
      <c r="B209" s="2">
        <v>46110</v>
      </c>
      <c r="C209">
        <v>2026</v>
      </c>
      <c r="D209" t="s">
        <v>147</v>
      </c>
      <c r="E209" t="s">
        <v>55</v>
      </c>
      <c r="F209" t="s">
        <v>181</v>
      </c>
      <c r="G209" t="s">
        <v>182</v>
      </c>
      <c r="H209" t="s">
        <v>51</v>
      </c>
      <c r="I209" t="s">
        <v>29</v>
      </c>
      <c r="J209">
        <v>8</v>
      </c>
      <c r="K209">
        <v>409.54</v>
      </c>
      <c r="L209">
        <v>2333.98</v>
      </c>
      <c r="M209">
        <f>Table1[[#This Row],[Quantity Sold]]*Table1[[#This Row],[Unit Price]]</f>
        <v>3276.32</v>
      </c>
      <c r="N209">
        <f>Table1[[#This Row],[Sales Amount]]-Table1[[#This Row],[Cost Amount]]</f>
        <v>942.34000000000015</v>
      </c>
      <c r="O209" t="str">
        <f>"Q"&amp;ROUNDUP(MONTH(Table1[[#This Row],[Order Date]])/3,0)</f>
        <v>Q1</v>
      </c>
      <c r="P209" t="str">
        <f>TEXT(Table1[[#This Row],[Order Date]],"MMM")</f>
        <v>Mar</v>
      </c>
      <c r="Q209">
        <f>MONTH(Table1[[#This Row],[Order Date]])</f>
        <v>3</v>
      </c>
    </row>
    <row r="210" spans="1:17" x14ac:dyDescent="0.25">
      <c r="A210" t="s">
        <v>562</v>
      </c>
      <c r="B210" s="2">
        <v>46065</v>
      </c>
      <c r="C210">
        <v>2026</v>
      </c>
      <c r="D210" t="s">
        <v>508</v>
      </c>
      <c r="E210" t="s">
        <v>563</v>
      </c>
      <c r="F210" t="s">
        <v>49</v>
      </c>
      <c r="G210" t="s">
        <v>50</v>
      </c>
      <c r="H210" t="s">
        <v>51</v>
      </c>
      <c r="I210" t="s">
        <v>29</v>
      </c>
      <c r="J210">
        <v>5</v>
      </c>
      <c r="K210">
        <v>239.73</v>
      </c>
      <c r="L210">
        <v>864.19</v>
      </c>
      <c r="M210">
        <f>Table1[[#This Row],[Quantity Sold]]*Table1[[#This Row],[Unit Price]]</f>
        <v>1198.6499999999999</v>
      </c>
      <c r="N210">
        <f>Table1[[#This Row],[Sales Amount]]-Table1[[#This Row],[Cost Amount]]</f>
        <v>334.45999999999981</v>
      </c>
      <c r="O210" t="str">
        <f>"Q"&amp;ROUNDUP(MONTH(Table1[[#This Row],[Order Date]])/3,0)</f>
        <v>Q1</v>
      </c>
      <c r="P210" t="str">
        <f>TEXT(Table1[[#This Row],[Order Date]],"MMM")</f>
        <v>Feb</v>
      </c>
      <c r="Q210">
        <f>MONTH(Table1[[#This Row],[Order Date]])</f>
        <v>2</v>
      </c>
    </row>
    <row r="211" spans="1:17" x14ac:dyDescent="0.25">
      <c r="A211" t="s">
        <v>564</v>
      </c>
      <c r="B211" s="2">
        <v>46183</v>
      </c>
      <c r="C211">
        <v>2026</v>
      </c>
      <c r="D211" t="s">
        <v>18</v>
      </c>
      <c r="E211" t="s">
        <v>565</v>
      </c>
      <c r="F211" t="s">
        <v>154</v>
      </c>
      <c r="G211" t="s">
        <v>155</v>
      </c>
      <c r="H211" t="s">
        <v>68</v>
      </c>
      <c r="I211" t="s">
        <v>42</v>
      </c>
      <c r="J211">
        <v>10</v>
      </c>
      <c r="K211">
        <v>111.27</v>
      </c>
      <c r="L211">
        <v>633.16</v>
      </c>
      <c r="M211">
        <f>Table1[[#This Row],[Quantity Sold]]*Table1[[#This Row],[Unit Price]]</f>
        <v>1112.7</v>
      </c>
      <c r="N211">
        <f>Table1[[#This Row],[Sales Amount]]-Table1[[#This Row],[Cost Amount]]</f>
        <v>479.54000000000008</v>
      </c>
      <c r="O211" t="str">
        <f>"Q"&amp;ROUNDUP(MONTH(Table1[[#This Row],[Order Date]])/3,0)</f>
        <v>Q2</v>
      </c>
      <c r="P211" t="str">
        <f>TEXT(Table1[[#This Row],[Order Date]],"MMM")</f>
        <v>Jun</v>
      </c>
      <c r="Q211">
        <f>MONTH(Table1[[#This Row],[Order Date]])</f>
        <v>6</v>
      </c>
    </row>
    <row r="212" spans="1:17" x14ac:dyDescent="0.25">
      <c r="A212" t="s">
        <v>566</v>
      </c>
      <c r="B212" s="2">
        <v>46339</v>
      </c>
      <c r="C212">
        <v>2026</v>
      </c>
      <c r="D212" t="s">
        <v>472</v>
      </c>
      <c r="E212" t="s">
        <v>567</v>
      </c>
      <c r="F212" t="s">
        <v>195</v>
      </c>
      <c r="G212" t="s">
        <v>196</v>
      </c>
      <c r="H212" t="s">
        <v>35</v>
      </c>
      <c r="I212" t="s">
        <v>52</v>
      </c>
      <c r="J212">
        <v>2</v>
      </c>
      <c r="K212">
        <v>235.7</v>
      </c>
      <c r="L212">
        <v>266.69</v>
      </c>
      <c r="M212">
        <f>Table1[[#This Row],[Quantity Sold]]*Table1[[#This Row],[Unit Price]]</f>
        <v>471.4</v>
      </c>
      <c r="N212">
        <f>Table1[[#This Row],[Sales Amount]]-Table1[[#This Row],[Cost Amount]]</f>
        <v>204.70999999999998</v>
      </c>
      <c r="O212" t="str">
        <f>"Q"&amp;ROUNDUP(MONTH(Table1[[#This Row],[Order Date]])/3,0)</f>
        <v>Q4</v>
      </c>
      <c r="P212" t="str">
        <f>TEXT(Table1[[#This Row],[Order Date]],"MMM")</f>
        <v>Nov</v>
      </c>
      <c r="Q212">
        <f>MONTH(Table1[[#This Row],[Order Date]])</f>
        <v>11</v>
      </c>
    </row>
    <row r="213" spans="1:17" x14ac:dyDescent="0.25">
      <c r="A213" t="s">
        <v>568</v>
      </c>
      <c r="B213" s="2">
        <v>46318</v>
      </c>
      <c r="C213">
        <v>2026</v>
      </c>
      <c r="D213" t="s">
        <v>227</v>
      </c>
      <c r="E213" t="s">
        <v>569</v>
      </c>
      <c r="F213" t="s">
        <v>173</v>
      </c>
      <c r="G213" t="s">
        <v>174</v>
      </c>
      <c r="H213" t="s">
        <v>22</v>
      </c>
      <c r="I213" t="s">
        <v>52</v>
      </c>
      <c r="J213">
        <v>8</v>
      </c>
      <c r="K213">
        <v>262.14999999999998</v>
      </c>
      <c r="L213">
        <v>1406.38</v>
      </c>
      <c r="M213">
        <f>Table1[[#This Row],[Quantity Sold]]*Table1[[#This Row],[Unit Price]]</f>
        <v>2097.1999999999998</v>
      </c>
      <c r="N213">
        <f>Table1[[#This Row],[Sales Amount]]-Table1[[#This Row],[Cost Amount]]</f>
        <v>690.81999999999971</v>
      </c>
      <c r="O213" t="str">
        <f>"Q"&amp;ROUNDUP(MONTH(Table1[[#This Row],[Order Date]])/3,0)</f>
        <v>Q4</v>
      </c>
      <c r="P213" t="str">
        <f>TEXT(Table1[[#This Row],[Order Date]],"MMM")</f>
        <v>Oct</v>
      </c>
      <c r="Q213">
        <f>MONTH(Table1[[#This Row],[Order Date]])</f>
        <v>10</v>
      </c>
    </row>
    <row r="214" spans="1:17" x14ac:dyDescent="0.25">
      <c r="A214" t="s">
        <v>570</v>
      </c>
      <c r="B214" s="2">
        <v>46348</v>
      </c>
      <c r="C214">
        <v>2026</v>
      </c>
      <c r="D214" t="s">
        <v>89</v>
      </c>
      <c r="E214" t="s">
        <v>360</v>
      </c>
      <c r="F214" t="s">
        <v>313</v>
      </c>
      <c r="G214" t="s">
        <v>314</v>
      </c>
      <c r="H214" t="s">
        <v>68</v>
      </c>
      <c r="I214" t="s">
        <v>42</v>
      </c>
      <c r="J214">
        <v>1</v>
      </c>
      <c r="K214">
        <v>167.37</v>
      </c>
      <c r="L214">
        <v>103.81</v>
      </c>
      <c r="M214">
        <f>Table1[[#This Row],[Quantity Sold]]*Table1[[#This Row],[Unit Price]]</f>
        <v>167.37</v>
      </c>
      <c r="N214">
        <f>Table1[[#This Row],[Sales Amount]]-Table1[[#This Row],[Cost Amount]]</f>
        <v>63.56</v>
      </c>
      <c r="O214" t="str">
        <f>"Q"&amp;ROUNDUP(MONTH(Table1[[#This Row],[Order Date]])/3,0)</f>
        <v>Q4</v>
      </c>
      <c r="P214" t="str">
        <f>TEXT(Table1[[#This Row],[Order Date]],"MMM")</f>
        <v>Nov</v>
      </c>
      <c r="Q214">
        <f>MONTH(Table1[[#This Row],[Order Date]])</f>
        <v>11</v>
      </c>
    </row>
    <row r="215" spans="1:17" x14ac:dyDescent="0.25">
      <c r="A215" t="s">
        <v>571</v>
      </c>
      <c r="B215" s="2">
        <v>46246</v>
      </c>
      <c r="C215">
        <v>2026</v>
      </c>
      <c r="D215" t="s">
        <v>572</v>
      </c>
      <c r="E215" t="s">
        <v>533</v>
      </c>
      <c r="F215" t="s">
        <v>229</v>
      </c>
      <c r="G215" t="s">
        <v>230</v>
      </c>
      <c r="H215" t="s">
        <v>35</v>
      </c>
      <c r="I215" t="s">
        <v>52</v>
      </c>
      <c r="J215">
        <v>13</v>
      </c>
      <c r="K215">
        <v>312.35000000000002</v>
      </c>
      <c r="L215">
        <v>2970.31</v>
      </c>
      <c r="M215">
        <f>Table1[[#This Row],[Quantity Sold]]*Table1[[#This Row],[Unit Price]]</f>
        <v>4060.55</v>
      </c>
      <c r="N215">
        <f>Table1[[#This Row],[Sales Amount]]-Table1[[#This Row],[Cost Amount]]</f>
        <v>1090.2400000000002</v>
      </c>
      <c r="O215" t="str">
        <f>"Q"&amp;ROUNDUP(MONTH(Table1[[#This Row],[Order Date]])/3,0)</f>
        <v>Q3</v>
      </c>
      <c r="P215" t="str">
        <f>TEXT(Table1[[#This Row],[Order Date]],"MMM")</f>
        <v>Aug</v>
      </c>
      <c r="Q215">
        <f>MONTH(Table1[[#This Row],[Order Date]])</f>
        <v>8</v>
      </c>
    </row>
    <row r="216" spans="1:17" x14ac:dyDescent="0.25">
      <c r="A216" t="s">
        <v>573</v>
      </c>
      <c r="B216" s="2">
        <v>46217</v>
      </c>
      <c r="C216">
        <v>2026</v>
      </c>
      <c r="D216" t="s">
        <v>434</v>
      </c>
      <c r="E216" t="s">
        <v>574</v>
      </c>
      <c r="F216" t="s">
        <v>169</v>
      </c>
      <c r="G216" t="s">
        <v>170</v>
      </c>
      <c r="H216" t="s">
        <v>22</v>
      </c>
      <c r="I216" t="s">
        <v>52</v>
      </c>
      <c r="J216">
        <v>19</v>
      </c>
      <c r="K216">
        <v>49.28</v>
      </c>
      <c r="L216">
        <v>558.67999999999995</v>
      </c>
      <c r="M216">
        <f>Table1[[#This Row],[Quantity Sold]]*Table1[[#This Row],[Unit Price]]</f>
        <v>936.32</v>
      </c>
      <c r="N216">
        <f>Table1[[#This Row],[Sales Amount]]-Table1[[#This Row],[Cost Amount]]</f>
        <v>377.6400000000001</v>
      </c>
      <c r="O216" t="str">
        <f>"Q"&amp;ROUNDUP(MONTH(Table1[[#This Row],[Order Date]])/3,0)</f>
        <v>Q3</v>
      </c>
      <c r="P216" t="str">
        <f>TEXT(Table1[[#This Row],[Order Date]],"MMM")</f>
        <v>Jul</v>
      </c>
      <c r="Q216">
        <f>MONTH(Table1[[#This Row],[Order Date]])</f>
        <v>7</v>
      </c>
    </row>
    <row r="217" spans="1:17" x14ac:dyDescent="0.25">
      <c r="A217" t="s">
        <v>575</v>
      </c>
      <c r="B217" s="2">
        <v>46386</v>
      </c>
      <c r="C217">
        <v>2026</v>
      </c>
      <c r="D217" t="s">
        <v>257</v>
      </c>
      <c r="E217" t="s">
        <v>26</v>
      </c>
      <c r="F217" t="s">
        <v>517</v>
      </c>
      <c r="G217" t="s">
        <v>518</v>
      </c>
      <c r="H217" t="s">
        <v>220</v>
      </c>
      <c r="I217" t="s">
        <v>52</v>
      </c>
      <c r="J217">
        <v>9</v>
      </c>
      <c r="K217">
        <v>151.97</v>
      </c>
      <c r="L217">
        <v>1133.57</v>
      </c>
      <c r="M217">
        <f>Table1[[#This Row],[Quantity Sold]]*Table1[[#This Row],[Unit Price]]</f>
        <v>1367.73</v>
      </c>
      <c r="N217">
        <f>Table1[[#This Row],[Sales Amount]]-Table1[[#This Row],[Cost Amount]]</f>
        <v>234.16000000000008</v>
      </c>
      <c r="O217" t="str">
        <f>"Q"&amp;ROUNDUP(MONTH(Table1[[#This Row],[Order Date]])/3,0)</f>
        <v>Q4</v>
      </c>
      <c r="P217" t="str">
        <f>TEXT(Table1[[#This Row],[Order Date]],"MMM")</f>
        <v>Dec</v>
      </c>
      <c r="Q217">
        <f>MONTH(Table1[[#This Row],[Order Date]])</f>
        <v>12</v>
      </c>
    </row>
    <row r="218" spans="1:17" x14ac:dyDescent="0.25">
      <c r="A218" t="s">
        <v>576</v>
      </c>
      <c r="B218" s="2">
        <v>46122</v>
      </c>
      <c r="C218">
        <v>2026</v>
      </c>
      <c r="D218" t="s">
        <v>508</v>
      </c>
      <c r="E218" t="s">
        <v>491</v>
      </c>
      <c r="F218" t="s">
        <v>106</v>
      </c>
      <c r="G218" t="s">
        <v>107</v>
      </c>
      <c r="H218" t="s">
        <v>35</v>
      </c>
      <c r="I218" t="s">
        <v>23</v>
      </c>
      <c r="J218">
        <v>9</v>
      </c>
      <c r="K218">
        <v>323.55</v>
      </c>
      <c r="L218">
        <v>2308.98</v>
      </c>
      <c r="M218">
        <f>Table1[[#This Row],[Quantity Sold]]*Table1[[#This Row],[Unit Price]]</f>
        <v>2911.9500000000003</v>
      </c>
      <c r="N218">
        <f>Table1[[#This Row],[Sales Amount]]-Table1[[#This Row],[Cost Amount]]</f>
        <v>602.97000000000025</v>
      </c>
      <c r="O218" t="str">
        <f>"Q"&amp;ROUNDUP(MONTH(Table1[[#This Row],[Order Date]])/3,0)</f>
        <v>Q2</v>
      </c>
      <c r="P218" t="str">
        <f>TEXT(Table1[[#This Row],[Order Date]],"MMM")</f>
        <v>Apr</v>
      </c>
      <c r="Q218">
        <f>MONTH(Table1[[#This Row],[Order Date]])</f>
        <v>4</v>
      </c>
    </row>
    <row r="219" spans="1:17" x14ac:dyDescent="0.25">
      <c r="A219" t="s">
        <v>577</v>
      </c>
      <c r="B219" s="2">
        <v>46168</v>
      </c>
      <c r="C219">
        <v>2026</v>
      </c>
      <c r="D219" t="s">
        <v>365</v>
      </c>
      <c r="E219" t="s">
        <v>304</v>
      </c>
      <c r="F219" t="s">
        <v>66</v>
      </c>
      <c r="G219" t="s">
        <v>67</v>
      </c>
      <c r="H219" t="s">
        <v>68</v>
      </c>
      <c r="I219" t="s">
        <v>29</v>
      </c>
      <c r="J219">
        <v>1</v>
      </c>
      <c r="K219">
        <v>70.62</v>
      </c>
      <c r="L219">
        <v>43.51</v>
      </c>
      <c r="M219">
        <f>Table1[[#This Row],[Quantity Sold]]*Table1[[#This Row],[Unit Price]]</f>
        <v>70.62</v>
      </c>
      <c r="N219">
        <f>Table1[[#This Row],[Sales Amount]]-Table1[[#This Row],[Cost Amount]]</f>
        <v>27.110000000000007</v>
      </c>
      <c r="O219" t="str">
        <f>"Q"&amp;ROUNDUP(MONTH(Table1[[#This Row],[Order Date]])/3,0)</f>
        <v>Q2</v>
      </c>
      <c r="P219" t="str">
        <f>TEXT(Table1[[#This Row],[Order Date]],"MMM")</f>
        <v>May</v>
      </c>
      <c r="Q219">
        <f>MONTH(Table1[[#This Row],[Order Date]])</f>
        <v>5</v>
      </c>
    </row>
    <row r="220" spans="1:17" x14ac:dyDescent="0.25">
      <c r="A220" t="s">
        <v>578</v>
      </c>
      <c r="B220" s="2">
        <v>46312</v>
      </c>
      <c r="C220">
        <v>2026</v>
      </c>
      <c r="D220" t="s">
        <v>392</v>
      </c>
      <c r="E220" t="s">
        <v>380</v>
      </c>
      <c r="F220" t="s">
        <v>278</v>
      </c>
      <c r="G220" t="s">
        <v>279</v>
      </c>
      <c r="H220" t="s">
        <v>220</v>
      </c>
      <c r="I220" t="s">
        <v>52</v>
      </c>
      <c r="J220">
        <v>3</v>
      </c>
      <c r="K220">
        <v>165.35</v>
      </c>
      <c r="L220">
        <v>308.73</v>
      </c>
      <c r="M220">
        <f>Table1[[#This Row],[Quantity Sold]]*Table1[[#This Row],[Unit Price]]</f>
        <v>496.04999999999995</v>
      </c>
      <c r="N220">
        <f>Table1[[#This Row],[Sales Amount]]-Table1[[#This Row],[Cost Amount]]</f>
        <v>187.31999999999994</v>
      </c>
      <c r="O220" t="str">
        <f>"Q"&amp;ROUNDUP(MONTH(Table1[[#This Row],[Order Date]])/3,0)</f>
        <v>Q4</v>
      </c>
      <c r="P220" t="str">
        <f>TEXT(Table1[[#This Row],[Order Date]],"MMM")</f>
        <v>Oct</v>
      </c>
      <c r="Q220">
        <f>MONTH(Table1[[#This Row],[Order Date]])</f>
        <v>10</v>
      </c>
    </row>
    <row r="221" spans="1:17" x14ac:dyDescent="0.25">
      <c r="A221" t="s">
        <v>579</v>
      </c>
      <c r="B221" s="2">
        <v>46053</v>
      </c>
      <c r="C221">
        <v>2026</v>
      </c>
      <c r="D221" t="s">
        <v>232</v>
      </c>
      <c r="E221" t="s">
        <v>580</v>
      </c>
      <c r="F221" t="s">
        <v>83</v>
      </c>
      <c r="G221" t="s">
        <v>84</v>
      </c>
      <c r="H221" t="s">
        <v>35</v>
      </c>
      <c r="I221" t="s">
        <v>23</v>
      </c>
      <c r="J221">
        <v>18</v>
      </c>
      <c r="K221">
        <v>59.18</v>
      </c>
      <c r="L221">
        <v>593.72</v>
      </c>
      <c r="M221">
        <f>Table1[[#This Row],[Quantity Sold]]*Table1[[#This Row],[Unit Price]]</f>
        <v>1065.24</v>
      </c>
      <c r="N221">
        <f>Table1[[#This Row],[Sales Amount]]-Table1[[#This Row],[Cost Amount]]</f>
        <v>471.52</v>
      </c>
      <c r="O221" t="str">
        <f>"Q"&amp;ROUNDUP(MONTH(Table1[[#This Row],[Order Date]])/3,0)</f>
        <v>Q1</v>
      </c>
      <c r="P221" t="str">
        <f>TEXT(Table1[[#This Row],[Order Date]],"MMM")</f>
        <v>Jan</v>
      </c>
      <c r="Q221">
        <f>MONTH(Table1[[#This Row],[Order Date]])</f>
        <v>1</v>
      </c>
    </row>
    <row r="222" spans="1:17" x14ac:dyDescent="0.25">
      <c r="A222" t="s">
        <v>581</v>
      </c>
      <c r="B222" s="2">
        <v>46112</v>
      </c>
      <c r="C222">
        <v>2026</v>
      </c>
      <c r="D222" t="s">
        <v>398</v>
      </c>
      <c r="E222" t="s">
        <v>493</v>
      </c>
      <c r="F222" t="s">
        <v>313</v>
      </c>
      <c r="G222" t="s">
        <v>314</v>
      </c>
      <c r="H222" t="s">
        <v>68</v>
      </c>
      <c r="I222" t="s">
        <v>29</v>
      </c>
      <c r="J222">
        <v>11</v>
      </c>
      <c r="K222">
        <v>151.02000000000001</v>
      </c>
      <c r="L222">
        <v>1215.56</v>
      </c>
      <c r="M222">
        <f>Table1[[#This Row],[Quantity Sold]]*Table1[[#This Row],[Unit Price]]</f>
        <v>1661.22</v>
      </c>
      <c r="N222">
        <f>Table1[[#This Row],[Sales Amount]]-Table1[[#This Row],[Cost Amount]]</f>
        <v>445.66000000000008</v>
      </c>
      <c r="O222" t="str">
        <f>"Q"&amp;ROUNDUP(MONTH(Table1[[#This Row],[Order Date]])/3,0)</f>
        <v>Q1</v>
      </c>
      <c r="P222" t="str">
        <f>TEXT(Table1[[#This Row],[Order Date]],"MMM")</f>
        <v>Mar</v>
      </c>
      <c r="Q222">
        <f>MONTH(Table1[[#This Row],[Order Date]])</f>
        <v>3</v>
      </c>
    </row>
    <row r="223" spans="1:17" x14ac:dyDescent="0.25">
      <c r="A223" t="s">
        <v>582</v>
      </c>
      <c r="B223" s="2">
        <v>46208</v>
      </c>
      <c r="C223">
        <v>2026</v>
      </c>
      <c r="D223" t="s">
        <v>109</v>
      </c>
      <c r="E223" t="s">
        <v>583</v>
      </c>
      <c r="F223" t="s">
        <v>278</v>
      </c>
      <c r="G223" t="s">
        <v>279</v>
      </c>
      <c r="H223" t="s">
        <v>220</v>
      </c>
      <c r="I223" t="s">
        <v>42</v>
      </c>
      <c r="J223">
        <v>15</v>
      </c>
      <c r="K223">
        <v>142.41999999999999</v>
      </c>
      <c r="L223">
        <v>1405.72</v>
      </c>
      <c r="M223">
        <f>Table1[[#This Row],[Quantity Sold]]*Table1[[#This Row],[Unit Price]]</f>
        <v>2136.2999999999997</v>
      </c>
      <c r="N223">
        <f>Table1[[#This Row],[Sales Amount]]-Table1[[#This Row],[Cost Amount]]</f>
        <v>730.5799999999997</v>
      </c>
      <c r="O223" t="str">
        <f>"Q"&amp;ROUNDUP(MONTH(Table1[[#This Row],[Order Date]])/3,0)</f>
        <v>Q3</v>
      </c>
      <c r="P223" t="str">
        <f>TEXT(Table1[[#This Row],[Order Date]],"MMM")</f>
        <v>Jul</v>
      </c>
      <c r="Q223">
        <f>MONTH(Table1[[#This Row],[Order Date]])</f>
        <v>7</v>
      </c>
    </row>
    <row r="224" spans="1:17" x14ac:dyDescent="0.25">
      <c r="A224" t="s">
        <v>584</v>
      </c>
      <c r="B224" s="2">
        <v>46181</v>
      </c>
      <c r="C224">
        <v>2026</v>
      </c>
      <c r="D224" t="s">
        <v>86</v>
      </c>
      <c r="E224" t="s">
        <v>32</v>
      </c>
      <c r="F224" t="s">
        <v>190</v>
      </c>
      <c r="G224" t="s">
        <v>191</v>
      </c>
      <c r="H224" t="s">
        <v>35</v>
      </c>
      <c r="I224" t="s">
        <v>42</v>
      </c>
      <c r="J224">
        <v>15</v>
      </c>
      <c r="K224">
        <v>427.35</v>
      </c>
      <c r="L224">
        <v>4244.6499999999996</v>
      </c>
      <c r="M224">
        <f>Table1[[#This Row],[Quantity Sold]]*Table1[[#This Row],[Unit Price]]</f>
        <v>6410.25</v>
      </c>
      <c r="N224">
        <f>Table1[[#This Row],[Sales Amount]]-Table1[[#This Row],[Cost Amount]]</f>
        <v>2165.6000000000004</v>
      </c>
      <c r="O224" t="str">
        <f>"Q"&amp;ROUNDUP(MONTH(Table1[[#This Row],[Order Date]])/3,0)</f>
        <v>Q2</v>
      </c>
      <c r="P224" t="str">
        <f>TEXT(Table1[[#This Row],[Order Date]],"MMM")</f>
        <v>Jun</v>
      </c>
      <c r="Q224">
        <f>MONTH(Table1[[#This Row],[Order Date]])</f>
        <v>6</v>
      </c>
    </row>
    <row r="225" spans="1:17" x14ac:dyDescent="0.25">
      <c r="A225" t="s">
        <v>585</v>
      </c>
      <c r="B225" s="2">
        <v>46387</v>
      </c>
      <c r="C225">
        <v>2026</v>
      </c>
      <c r="D225" t="s">
        <v>75</v>
      </c>
      <c r="E225" t="s">
        <v>312</v>
      </c>
      <c r="F225" t="s">
        <v>190</v>
      </c>
      <c r="G225" t="s">
        <v>191</v>
      </c>
      <c r="H225" t="s">
        <v>35</v>
      </c>
      <c r="I225" t="s">
        <v>29</v>
      </c>
      <c r="J225">
        <v>15</v>
      </c>
      <c r="K225">
        <v>67.77</v>
      </c>
      <c r="L225">
        <v>594.92999999999995</v>
      </c>
      <c r="M225">
        <f>Table1[[#This Row],[Quantity Sold]]*Table1[[#This Row],[Unit Price]]</f>
        <v>1016.55</v>
      </c>
      <c r="N225">
        <f>Table1[[#This Row],[Sales Amount]]-Table1[[#This Row],[Cost Amount]]</f>
        <v>421.62</v>
      </c>
      <c r="O225" t="str">
        <f>"Q"&amp;ROUNDUP(MONTH(Table1[[#This Row],[Order Date]])/3,0)</f>
        <v>Q4</v>
      </c>
      <c r="P225" t="str">
        <f>TEXT(Table1[[#This Row],[Order Date]],"MMM")</f>
        <v>Dec</v>
      </c>
      <c r="Q225">
        <f>MONTH(Table1[[#This Row],[Order Date]])</f>
        <v>12</v>
      </c>
    </row>
    <row r="226" spans="1:17" x14ac:dyDescent="0.25">
      <c r="A226" t="s">
        <v>586</v>
      </c>
      <c r="B226" s="2">
        <v>46110</v>
      </c>
      <c r="C226">
        <v>2026</v>
      </c>
      <c r="D226" t="s">
        <v>260</v>
      </c>
      <c r="E226" t="s">
        <v>447</v>
      </c>
      <c r="F226" t="s">
        <v>424</v>
      </c>
      <c r="G226" t="s">
        <v>425</v>
      </c>
      <c r="H226" t="s">
        <v>41</v>
      </c>
      <c r="I226" t="s">
        <v>52</v>
      </c>
      <c r="J226">
        <v>19</v>
      </c>
      <c r="K226">
        <v>303.26</v>
      </c>
      <c r="L226">
        <v>4345.66</v>
      </c>
      <c r="M226">
        <f>Table1[[#This Row],[Quantity Sold]]*Table1[[#This Row],[Unit Price]]</f>
        <v>5761.94</v>
      </c>
      <c r="N226">
        <f>Table1[[#This Row],[Sales Amount]]-Table1[[#This Row],[Cost Amount]]</f>
        <v>1416.2799999999997</v>
      </c>
      <c r="O226" t="str">
        <f>"Q"&amp;ROUNDUP(MONTH(Table1[[#This Row],[Order Date]])/3,0)</f>
        <v>Q1</v>
      </c>
      <c r="P226" t="str">
        <f>TEXT(Table1[[#This Row],[Order Date]],"MMM")</f>
        <v>Mar</v>
      </c>
      <c r="Q226">
        <f>MONTH(Table1[[#This Row],[Order Date]])</f>
        <v>3</v>
      </c>
    </row>
    <row r="227" spans="1:17" x14ac:dyDescent="0.25">
      <c r="A227" t="s">
        <v>587</v>
      </c>
      <c r="B227" s="2">
        <v>46174</v>
      </c>
      <c r="C227">
        <v>2026</v>
      </c>
      <c r="D227" t="s">
        <v>307</v>
      </c>
      <c r="E227" t="s">
        <v>289</v>
      </c>
      <c r="F227" t="s">
        <v>347</v>
      </c>
      <c r="G227" t="s">
        <v>348</v>
      </c>
      <c r="H227" t="s">
        <v>68</v>
      </c>
      <c r="I227" t="s">
        <v>42</v>
      </c>
      <c r="J227">
        <v>18</v>
      </c>
      <c r="K227">
        <v>269.18</v>
      </c>
      <c r="L227">
        <v>3300.15</v>
      </c>
      <c r="M227">
        <f>Table1[[#This Row],[Quantity Sold]]*Table1[[#This Row],[Unit Price]]</f>
        <v>4845.24</v>
      </c>
      <c r="N227">
        <f>Table1[[#This Row],[Sales Amount]]-Table1[[#This Row],[Cost Amount]]</f>
        <v>1545.0899999999997</v>
      </c>
      <c r="O227" t="str">
        <f>"Q"&amp;ROUNDUP(MONTH(Table1[[#This Row],[Order Date]])/3,0)</f>
        <v>Q2</v>
      </c>
      <c r="P227" t="str">
        <f>TEXT(Table1[[#This Row],[Order Date]],"MMM")</f>
        <v>Jun</v>
      </c>
      <c r="Q227">
        <f>MONTH(Table1[[#This Row],[Order Date]])</f>
        <v>6</v>
      </c>
    </row>
    <row r="228" spans="1:17" x14ac:dyDescent="0.25">
      <c r="A228" t="s">
        <v>588</v>
      </c>
      <c r="B228" s="2">
        <v>46063</v>
      </c>
      <c r="C228">
        <v>2026</v>
      </c>
      <c r="D228" t="s">
        <v>86</v>
      </c>
      <c r="E228" t="s">
        <v>589</v>
      </c>
      <c r="F228" t="s">
        <v>123</v>
      </c>
      <c r="G228" t="s">
        <v>124</v>
      </c>
      <c r="H228" t="s">
        <v>41</v>
      </c>
      <c r="I228" t="s">
        <v>23</v>
      </c>
      <c r="J228">
        <v>18</v>
      </c>
      <c r="K228">
        <v>32.869999999999997</v>
      </c>
      <c r="L228">
        <v>458.32</v>
      </c>
      <c r="M228">
        <f>Table1[[#This Row],[Quantity Sold]]*Table1[[#This Row],[Unit Price]]</f>
        <v>591.66</v>
      </c>
      <c r="N228">
        <f>Table1[[#This Row],[Sales Amount]]-Table1[[#This Row],[Cost Amount]]</f>
        <v>133.33999999999997</v>
      </c>
      <c r="O228" t="str">
        <f>"Q"&amp;ROUNDUP(MONTH(Table1[[#This Row],[Order Date]])/3,0)</f>
        <v>Q1</v>
      </c>
      <c r="P228" t="str">
        <f>TEXT(Table1[[#This Row],[Order Date]],"MMM")</f>
        <v>Feb</v>
      </c>
      <c r="Q228">
        <f>MONTH(Table1[[#This Row],[Order Date]])</f>
        <v>2</v>
      </c>
    </row>
    <row r="229" spans="1:17" x14ac:dyDescent="0.25">
      <c r="A229" t="s">
        <v>590</v>
      </c>
      <c r="B229" s="2">
        <v>46150</v>
      </c>
      <c r="C229">
        <v>2026</v>
      </c>
      <c r="D229" t="s">
        <v>591</v>
      </c>
      <c r="E229" t="s">
        <v>528</v>
      </c>
      <c r="F229" t="s">
        <v>78</v>
      </c>
      <c r="G229" t="s">
        <v>79</v>
      </c>
      <c r="H229" t="s">
        <v>22</v>
      </c>
      <c r="I229" t="s">
        <v>23</v>
      </c>
      <c r="J229">
        <v>12</v>
      </c>
      <c r="K229">
        <v>495.92</v>
      </c>
      <c r="L229">
        <v>4206.84</v>
      </c>
      <c r="M229">
        <f>Table1[[#This Row],[Quantity Sold]]*Table1[[#This Row],[Unit Price]]</f>
        <v>5951.04</v>
      </c>
      <c r="N229">
        <f>Table1[[#This Row],[Sales Amount]]-Table1[[#This Row],[Cost Amount]]</f>
        <v>1744.1999999999998</v>
      </c>
      <c r="O229" t="str">
        <f>"Q"&amp;ROUNDUP(MONTH(Table1[[#This Row],[Order Date]])/3,0)</f>
        <v>Q2</v>
      </c>
      <c r="P229" t="str">
        <f>TEXT(Table1[[#This Row],[Order Date]],"MMM")</f>
        <v>May</v>
      </c>
      <c r="Q229">
        <f>MONTH(Table1[[#This Row],[Order Date]])</f>
        <v>5</v>
      </c>
    </row>
    <row r="230" spans="1:17" x14ac:dyDescent="0.25">
      <c r="A230" t="s">
        <v>592</v>
      </c>
      <c r="B230" s="2">
        <v>46360</v>
      </c>
      <c r="C230">
        <v>2026</v>
      </c>
      <c r="D230" t="s">
        <v>147</v>
      </c>
      <c r="E230" t="s">
        <v>593</v>
      </c>
      <c r="F230" t="s">
        <v>20</v>
      </c>
      <c r="G230" t="s">
        <v>21</v>
      </c>
      <c r="H230" t="s">
        <v>22</v>
      </c>
      <c r="I230" t="s">
        <v>23</v>
      </c>
      <c r="J230">
        <v>12</v>
      </c>
      <c r="K230">
        <v>79.38</v>
      </c>
      <c r="L230">
        <v>560.98</v>
      </c>
      <c r="M230">
        <f>Table1[[#This Row],[Quantity Sold]]*Table1[[#This Row],[Unit Price]]</f>
        <v>952.56</v>
      </c>
      <c r="N230">
        <f>Table1[[#This Row],[Sales Amount]]-Table1[[#This Row],[Cost Amount]]</f>
        <v>391.57999999999993</v>
      </c>
      <c r="O230" t="str">
        <f>"Q"&amp;ROUNDUP(MONTH(Table1[[#This Row],[Order Date]])/3,0)</f>
        <v>Q4</v>
      </c>
      <c r="P230" t="str">
        <f>TEXT(Table1[[#This Row],[Order Date]],"MMM")</f>
        <v>Dec</v>
      </c>
      <c r="Q230">
        <f>MONTH(Table1[[#This Row],[Order Date]])</f>
        <v>12</v>
      </c>
    </row>
    <row r="231" spans="1:17" x14ac:dyDescent="0.25">
      <c r="A231" t="s">
        <v>594</v>
      </c>
      <c r="B231" s="2">
        <v>46045</v>
      </c>
      <c r="C231">
        <v>2026</v>
      </c>
      <c r="D231" t="s">
        <v>446</v>
      </c>
      <c r="E231" t="s">
        <v>595</v>
      </c>
      <c r="F231" t="s">
        <v>95</v>
      </c>
      <c r="G231" t="s">
        <v>96</v>
      </c>
      <c r="H231" t="s">
        <v>97</v>
      </c>
      <c r="I231" t="s">
        <v>42</v>
      </c>
      <c r="J231">
        <v>3</v>
      </c>
      <c r="K231">
        <v>121.64</v>
      </c>
      <c r="L231">
        <v>293.7</v>
      </c>
      <c r="M231">
        <f>Table1[[#This Row],[Quantity Sold]]*Table1[[#This Row],[Unit Price]]</f>
        <v>364.92</v>
      </c>
      <c r="N231">
        <f>Table1[[#This Row],[Sales Amount]]-Table1[[#This Row],[Cost Amount]]</f>
        <v>71.220000000000027</v>
      </c>
      <c r="O231" t="str">
        <f>"Q"&amp;ROUNDUP(MONTH(Table1[[#This Row],[Order Date]])/3,0)</f>
        <v>Q1</v>
      </c>
      <c r="P231" t="str">
        <f>TEXT(Table1[[#This Row],[Order Date]],"MMM")</f>
        <v>Jan</v>
      </c>
      <c r="Q231">
        <f>MONTH(Table1[[#This Row],[Order Date]])</f>
        <v>1</v>
      </c>
    </row>
    <row r="232" spans="1:17" x14ac:dyDescent="0.25">
      <c r="A232" t="s">
        <v>596</v>
      </c>
      <c r="B232" s="2">
        <v>46252</v>
      </c>
      <c r="C232">
        <v>2026</v>
      </c>
      <c r="D232" t="s">
        <v>307</v>
      </c>
      <c r="E232" t="s">
        <v>331</v>
      </c>
      <c r="F232" t="s">
        <v>27</v>
      </c>
      <c r="G232" t="s">
        <v>28</v>
      </c>
      <c r="H232" t="s">
        <v>22</v>
      </c>
      <c r="I232" t="s">
        <v>42</v>
      </c>
      <c r="J232">
        <v>4</v>
      </c>
      <c r="K232">
        <v>175.82</v>
      </c>
      <c r="L232">
        <v>459.99</v>
      </c>
      <c r="M232">
        <f>Table1[[#This Row],[Quantity Sold]]*Table1[[#This Row],[Unit Price]]</f>
        <v>703.28</v>
      </c>
      <c r="N232">
        <f>Table1[[#This Row],[Sales Amount]]-Table1[[#This Row],[Cost Amount]]</f>
        <v>243.28999999999996</v>
      </c>
      <c r="O232" t="str">
        <f>"Q"&amp;ROUNDUP(MONTH(Table1[[#This Row],[Order Date]])/3,0)</f>
        <v>Q3</v>
      </c>
      <c r="P232" t="str">
        <f>TEXT(Table1[[#This Row],[Order Date]],"MMM")</f>
        <v>Aug</v>
      </c>
      <c r="Q232">
        <f>MONTH(Table1[[#This Row],[Order Date]])</f>
        <v>8</v>
      </c>
    </row>
    <row r="233" spans="1:17" x14ac:dyDescent="0.25">
      <c r="A233" t="s">
        <v>597</v>
      </c>
      <c r="B233" s="2">
        <v>46349</v>
      </c>
      <c r="C233">
        <v>2026</v>
      </c>
      <c r="D233" t="s">
        <v>142</v>
      </c>
      <c r="E233" t="s">
        <v>432</v>
      </c>
      <c r="F233" t="s">
        <v>163</v>
      </c>
      <c r="G233" t="s">
        <v>164</v>
      </c>
      <c r="H233" t="s">
        <v>68</v>
      </c>
      <c r="I233" t="s">
        <v>42</v>
      </c>
      <c r="J233">
        <v>3</v>
      </c>
      <c r="K233">
        <v>375.94</v>
      </c>
      <c r="L233">
        <v>795.77</v>
      </c>
      <c r="M233">
        <f>Table1[[#This Row],[Quantity Sold]]*Table1[[#This Row],[Unit Price]]</f>
        <v>1127.82</v>
      </c>
      <c r="N233">
        <f>Table1[[#This Row],[Sales Amount]]-Table1[[#This Row],[Cost Amount]]</f>
        <v>332.04999999999995</v>
      </c>
      <c r="O233" t="str">
        <f>"Q"&amp;ROUNDUP(MONTH(Table1[[#This Row],[Order Date]])/3,0)</f>
        <v>Q4</v>
      </c>
      <c r="P233" t="str">
        <f>TEXT(Table1[[#This Row],[Order Date]],"MMM")</f>
        <v>Nov</v>
      </c>
      <c r="Q233">
        <f>MONTH(Table1[[#This Row],[Order Date]])</f>
        <v>11</v>
      </c>
    </row>
    <row r="234" spans="1:17" x14ac:dyDescent="0.25">
      <c r="A234" t="s">
        <v>598</v>
      </c>
      <c r="B234" s="2">
        <v>46160</v>
      </c>
      <c r="C234">
        <v>2026</v>
      </c>
      <c r="D234" t="s">
        <v>362</v>
      </c>
      <c r="E234" t="s">
        <v>201</v>
      </c>
      <c r="F234" t="s">
        <v>215</v>
      </c>
      <c r="G234" t="s">
        <v>216</v>
      </c>
      <c r="H234" t="s">
        <v>51</v>
      </c>
      <c r="I234" t="s">
        <v>29</v>
      </c>
      <c r="J234">
        <v>11</v>
      </c>
      <c r="K234">
        <v>286.08</v>
      </c>
      <c r="L234">
        <v>2238.17</v>
      </c>
      <c r="M234">
        <f>Table1[[#This Row],[Quantity Sold]]*Table1[[#This Row],[Unit Price]]</f>
        <v>3146.8799999999997</v>
      </c>
      <c r="N234">
        <f>Table1[[#This Row],[Sales Amount]]-Table1[[#This Row],[Cost Amount]]</f>
        <v>908.70999999999958</v>
      </c>
      <c r="O234" t="str">
        <f>"Q"&amp;ROUNDUP(MONTH(Table1[[#This Row],[Order Date]])/3,0)</f>
        <v>Q2</v>
      </c>
      <c r="P234" t="str">
        <f>TEXT(Table1[[#This Row],[Order Date]],"MMM")</f>
        <v>May</v>
      </c>
      <c r="Q234">
        <f>MONTH(Table1[[#This Row],[Order Date]])</f>
        <v>5</v>
      </c>
    </row>
    <row r="235" spans="1:17" x14ac:dyDescent="0.25">
      <c r="A235" t="s">
        <v>599</v>
      </c>
      <c r="B235" s="2">
        <v>46259</v>
      </c>
      <c r="C235">
        <v>2026</v>
      </c>
      <c r="D235" t="s">
        <v>157</v>
      </c>
      <c r="E235" t="s">
        <v>580</v>
      </c>
      <c r="F235" t="s">
        <v>134</v>
      </c>
      <c r="G235" t="s">
        <v>135</v>
      </c>
      <c r="H235" t="s">
        <v>22</v>
      </c>
      <c r="I235" t="s">
        <v>29</v>
      </c>
      <c r="J235">
        <v>4</v>
      </c>
      <c r="K235">
        <v>489.6</v>
      </c>
      <c r="L235">
        <v>1139.3800000000001</v>
      </c>
      <c r="M235">
        <f>Table1[[#This Row],[Quantity Sold]]*Table1[[#This Row],[Unit Price]]</f>
        <v>1958.4</v>
      </c>
      <c r="N235">
        <f>Table1[[#This Row],[Sales Amount]]-Table1[[#This Row],[Cost Amount]]</f>
        <v>819.02</v>
      </c>
      <c r="O235" t="str">
        <f>"Q"&amp;ROUNDUP(MONTH(Table1[[#This Row],[Order Date]])/3,0)</f>
        <v>Q3</v>
      </c>
      <c r="P235" t="str">
        <f>TEXT(Table1[[#This Row],[Order Date]],"MMM")</f>
        <v>Aug</v>
      </c>
      <c r="Q235">
        <f>MONTH(Table1[[#This Row],[Order Date]])</f>
        <v>8</v>
      </c>
    </row>
    <row r="236" spans="1:17" x14ac:dyDescent="0.25">
      <c r="A236" t="s">
        <v>600</v>
      </c>
      <c r="B236" s="2">
        <v>46352</v>
      </c>
      <c r="C236">
        <v>2026</v>
      </c>
      <c r="D236" t="s">
        <v>463</v>
      </c>
      <c r="E236" t="s">
        <v>358</v>
      </c>
      <c r="F236" t="s">
        <v>101</v>
      </c>
      <c r="G236" t="s">
        <v>102</v>
      </c>
      <c r="H236" t="s">
        <v>22</v>
      </c>
      <c r="I236" t="s">
        <v>52</v>
      </c>
      <c r="J236">
        <v>18</v>
      </c>
      <c r="K236">
        <v>29.69</v>
      </c>
      <c r="L236">
        <v>370.29</v>
      </c>
      <c r="M236">
        <f>Table1[[#This Row],[Quantity Sold]]*Table1[[#This Row],[Unit Price]]</f>
        <v>534.42000000000007</v>
      </c>
      <c r="N236">
        <f>Table1[[#This Row],[Sales Amount]]-Table1[[#This Row],[Cost Amount]]</f>
        <v>164.13000000000005</v>
      </c>
      <c r="O236" t="str">
        <f>"Q"&amp;ROUNDUP(MONTH(Table1[[#This Row],[Order Date]])/3,0)</f>
        <v>Q4</v>
      </c>
      <c r="P236" t="str">
        <f>TEXT(Table1[[#This Row],[Order Date]],"MMM")</f>
        <v>Nov</v>
      </c>
      <c r="Q236">
        <f>MONTH(Table1[[#This Row],[Order Date]])</f>
        <v>11</v>
      </c>
    </row>
    <row r="237" spans="1:17" x14ac:dyDescent="0.25">
      <c r="A237" t="s">
        <v>601</v>
      </c>
      <c r="B237" s="2">
        <v>46251</v>
      </c>
      <c r="C237">
        <v>2026</v>
      </c>
      <c r="D237" t="s">
        <v>184</v>
      </c>
      <c r="E237" t="s">
        <v>602</v>
      </c>
      <c r="F237" t="s">
        <v>163</v>
      </c>
      <c r="G237" t="s">
        <v>164</v>
      </c>
      <c r="H237" t="s">
        <v>68</v>
      </c>
      <c r="I237" t="s">
        <v>42</v>
      </c>
      <c r="J237">
        <v>8</v>
      </c>
      <c r="K237">
        <v>38.700000000000003</v>
      </c>
      <c r="L237">
        <v>246.85</v>
      </c>
      <c r="M237">
        <f>Table1[[#This Row],[Quantity Sold]]*Table1[[#This Row],[Unit Price]]</f>
        <v>309.60000000000002</v>
      </c>
      <c r="N237">
        <f>Table1[[#This Row],[Sales Amount]]-Table1[[#This Row],[Cost Amount]]</f>
        <v>62.750000000000028</v>
      </c>
      <c r="O237" t="str">
        <f>"Q"&amp;ROUNDUP(MONTH(Table1[[#This Row],[Order Date]])/3,0)</f>
        <v>Q3</v>
      </c>
      <c r="P237" t="str">
        <f>TEXT(Table1[[#This Row],[Order Date]],"MMM")</f>
        <v>Aug</v>
      </c>
      <c r="Q237">
        <f>MONTH(Table1[[#This Row],[Order Date]])</f>
        <v>8</v>
      </c>
    </row>
    <row r="238" spans="1:17" x14ac:dyDescent="0.25">
      <c r="A238" t="s">
        <v>603</v>
      </c>
      <c r="B238" s="2">
        <v>46055</v>
      </c>
      <c r="C238">
        <v>2026</v>
      </c>
      <c r="D238" t="s">
        <v>530</v>
      </c>
      <c r="E238" t="s">
        <v>488</v>
      </c>
      <c r="F238" t="s">
        <v>66</v>
      </c>
      <c r="G238" t="s">
        <v>67</v>
      </c>
      <c r="H238" t="s">
        <v>68</v>
      </c>
      <c r="I238" t="s">
        <v>23</v>
      </c>
      <c r="J238">
        <v>17</v>
      </c>
      <c r="K238">
        <v>426.11</v>
      </c>
      <c r="L238">
        <v>4745.8500000000004</v>
      </c>
      <c r="M238">
        <f>Table1[[#This Row],[Quantity Sold]]*Table1[[#This Row],[Unit Price]]</f>
        <v>7243.87</v>
      </c>
      <c r="N238">
        <f>Table1[[#This Row],[Sales Amount]]-Table1[[#This Row],[Cost Amount]]</f>
        <v>2498.0199999999995</v>
      </c>
      <c r="O238" t="str">
        <f>"Q"&amp;ROUNDUP(MONTH(Table1[[#This Row],[Order Date]])/3,0)</f>
        <v>Q1</v>
      </c>
      <c r="P238" t="str">
        <f>TEXT(Table1[[#This Row],[Order Date]],"MMM")</f>
        <v>Feb</v>
      </c>
      <c r="Q238">
        <f>MONTH(Table1[[#This Row],[Order Date]])</f>
        <v>2</v>
      </c>
    </row>
    <row r="239" spans="1:17" x14ac:dyDescent="0.25">
      <c r="A239" t="s">
        <v>604</v>
      </c>
      <c r="B239" s="2">
        <v>46107</v>
      </c>
      <c r="C239">
        <v>2026</v>
      </c>
      <c r="D239" t="s">
        <v>263</v>
      </c>
      <c r="E239" t="s">
        <v>245</v>
      </c>
      <c r="F239" t="s">
        <v>484</v>
      </c>
      <c r="G239" t="s">
        <v>485</v>
      </c>
      <c r="H239" t="s">
        <v>97</v>
      </c>
      <c r="I239" t="s">
        <v>52</v>
      </c>
      <c r="J239">
        <v>5</v>
      </c>
      <c r="K239">
        <v>355.27</v>
      </c>
      <c r="L239">
        <v>1123.1300000000001</v>
      </c>
      <c r="M239">
        <f>Table1[[#This Row],[Quantity Sold]]*Table1[[#This Row],[Unit Price]]</f>
        <v>1776.35</v>
      </c>
      <c r="N239">
        <f>Table1[[#This Row],[Sales Amount]]-Table1[[#This Row],[Cost Amount]]</f>
        <v>653.2199999999998</v>
      </c>
      <c r="O239" t="str">
        <f>"Q"&amp;ROUNDUP(MONTH(Table1[[#This Row],[Order Date]])/3,0)</f>
        <v>Q1</v>
      </c>
      <c r="P239" t="str">
        <f>TEXT(Table1[[#This Row],[Order Date]],"MMM")</f>
        <v>Mar</v>
      </c>
      <c r="Q239">
        <f>MONTH(Table1[[#This Row],[Order Date]])</f>
        <v>3</v>
      </c>
    </row>
    <row r="240" spans="1:17" x14ac:dyDescent="0.25">
      <c r="A240" t="s">
        <v>605</v>
      </c>
      <c r="B240" s="2">
        <v>46220</v>
      </c>
      <c r="C240">
        <v>2026</v>
      </c>
      <c r="D240" t="s">
        <v>362</v>
      </c>
      <c r="E240" t="s">
        <v>338</v>
      </c>
      <c r="F240" t="s">
        <v>72</v>
      </c>
      <c r="G240" t="s">
        <v>73</v>
      </c>
      <c r="H240" t="s">
        <v>41</v>
      </c>
      <c r="I240" t="s">
        <v>29</v>
      </c>
      <c r="J240">
        <v>17</v>
      </c>
      <c r="K240">
        <v>264.69</v>
      </c>
      <c r="L240">
        <v>3079.11</v>
      </c>
      <c r="M240">
        <f>Table1[[#This Row],[Quantity Sold]]*Table1[[#This Row],[Unit Price]]</f>
        <v>4499.7299999999996</v>
      </c>
      <c r="N240">
        <f>Table1[[#This Row],[Sales Amount]]-Table1[[#This Row],[Cost Amount]]</f>
        <v>1420.6199999999994</v>
      </c>
      <c r="O240" t="str">
        <f>"Q"&amp;ROUNDUP(MONTH(Table1[[#This Row],[Order Date]])/3,0)</f>
        <v>Q3</v>
      </c>
      <c r="P240" t="str">
        <f>TEXT(Table1[[#This Row],[Order Date]],"MMM")</f>
        <v>Jul</v>
      </c>
      <c r="Q240">
        <f>MONTH(Table1[[#This Row],[Order Date]])</f>
        <v>7</v>
      </c>
    </row>
    <row r="241" spans="1:17" x14ac:dyDescent="0.25">
      <c r="A241" t="s">
        <v>606</v>
      </c>
      <c r="B241" s="2">
        <v>46026</v>
      </c>
      <c r="C241">
        <v>2026</v>
      </c>
      <c r="D241" t="s">
        <v>467</v>
      </c>
      <c r="E241" t="s">
        <v>375</v>
      </c>
      <c r="F241" t="s">
        <v>27</v>
      </c>
      <c r="G241" t="s">
        <v>28</v>
      </c>
      <c r="H241" t="s">
        <v>22</v>
      </c>
      <c r="I241" t="s">
        <v>42</v>
      </c>
      <c r="J241">
        <v>11</v>
      </c>
      <c r="K241">
        <v>450.42</v>
      </c>
      <c r="L241">
        <v>2791.75</v>
      </c>
      <c r="M241">
        <f>Table1[[#This Row],[Quantity Sold]]*Table1[[#This Row],[Unit Price]]</f>
        <v>4954.62</v>
      </c>
      <c r="N241">
        <f>Table1[[#This Row],[Sales Amount]]-Table1[[#This Row],[Cost Amount]]</f>
        <v>2162.87</v>
      </c>
      <c r="O241" t="str">
        <f>"Q"&amp;ROUNDUP(MONTH(Table1[[#This Row],[Order Date]])/3,0)</f>
        <v>Q1</v>
      </c>
      <c r="P241" t="str">
        <f>TEXT(Table1[[#This Row],[Order Date]],"MMM")</f>
        <v>Jan</v>
      </c>
      <c r="Q241">
        <f>MONTH(Table1[[#This Row],[Order Date]])</f>
        <v>1</v>
      </c>
    </row>
    <row r="242" spans="1:17" x14ac:dyDescent="0.25">
      <c r="A242" t="s">
        <v>607</v>
      </c>
      <c r="B242" s="2">
        <v>46263</v>
      </c>
      <c r="C242">
        <v>2026</v>
      </c>
      <c r="D242" t="s">
        <v>299</v>
      </c>
      <c r="E242" t="s">
        <v>509</v>
      </c>
      <c r="F242" t="s">
        <v>154</v>
      </c>
      <c r="G242" t="s">
        <v>155</v>
      </c>
      <c r="H242" t="s">
        <v>68</v>
      </c>
      <c r="I242" t="s">
        <v>29</v>
      </c>
      <c r="J242">
        <v>6</v>
      </c>
      <c r="K242">
        <v>426.12</v>
      </c>
      <c r="L242">
        <v>2033.39</v>
      </c>
      <c r="M242">
        <f>Table1[[#This Row],[Quantity Sold]]*Table1[[#This Row],[Unit Price]]</f>
        <v>2556.7200000000003</v>
      </c>
      <c r="N242">
        <f>Table1[[#This Row],[Sales Amount]]-Table1[[#This Row],[Cost Amount]]</f>
        <v>523.33000000000015</v>
      </c>
      <c r="O242" t="str">
        <f>"Q"&amp;ROUNDUP(MONTH(Table1[[#This Row],[Order Date]])/3,0)</f>
        <v>Q3</v>
      </c>
      <c r="P242" t="str">
        <f>TEXT(Table1[[#This Row],[Order Date]],"MMM")</f>
        <v>Aug</v>
      </c>
      <c r="Q242">
        <f>MONTH(Table1[[#This Row],[Order Date]])</f>
        <v>8</v>
      </c>
    </row>
    <row r="243" spans="1:17" x14ac:dyDescent="0.25">
      <c r="A243" t="s">
        <v>608</v>
      </c>
      <c r="B243" s="2">
        <v>46030</v>
      </c>
      <c r="C243">
        <v>2026</v>
      </c>
      <c r="D243" t="s">
        <v>54</v>
      </c>
      <c r="E243" t="s">
        <v>360</v>
      </c>
      <c r="F243" t="s">
        <v>149</v>
      </c>
      <c r="G243" t="s">
        <v>150</v>
      </c>
      <c r="H243" t="s">
        <v>22</v>
      </c>
      <c r="I243" t="s">
        <v>23</v>
      </c>
      <c r="J243">
        <v>5</v>
      </c>
      <c r="K243">
        <v>331.57</v>
      </c>
      <c r="L243">
        <v>1108.67</v>
      </c>
      <c r="M243">
        <f>Table1[[#This Row],[Quantity Sold]]*Table1[[#This Row],[Unit Price]]</f>
        <v>1657.85</v>
      </c>
      <c r="N243">
        <f>Table1[[#This Row],[Sales Amount]]-Table1[[#This Row],[Cost Amount]]</f>
        <v>549.17999999999984</v>
      </c>
      <c r="O243" t="str">
        <f>"Q"&amp;ROUNDUP(MONTH(Table1[[#This Row],[Order Date]])/3,0)</f>
        <v>Q1</v>
      </c>
      <c r="P243" t="str">
        <f>TEXT(Table1[[#This Row],[Order Date]],"MMM")</f>
        <v>Jan</v>
      </c>
      <c r="Q243">
        <f>MONTH(Table1[[#This Row],[Order Date]])</f>
        <v>1</v>
      </c>
    </row>
    <row r="244" spans="1:17" x14ac:dyDescent="0.25">
      <c r="A244" t="s">
        <v>609</v>
      </c>
      <c r="B244" s="2">
        <v>46275</v>
      </c>
      <c r="C244">
        <v>2026</v>
      </c>
      <c r="D244" t="s">
        <v>115</v>
      </c>
      <c r="E244" t="s">
        <v>610</v>
      </c>
      <c r="F244" t="s">
        <v>154</v>
      </c>
      <c r="G244" t="s">
        <v>155</v>
      </c>
      <c r="H244" t="s">
        <v>68</v>
      </c>
      <c r="I244" t="s">
        <v>42</v>
      </c>
      <c r="J244">
        <v>10</v>
      </c>
      <c r="K244">
        <v>276.63</v>
      </c>
      <c r="L244">
        <v>1820.64</v>
      </c>
      <c r="M244">
        <f>Table1[[#This Row],[Quantity Sold]]*Table1[[#This Row],[Unit Price]]</f>
        <v>2766.3</v>
      </c>
      <c r="N244">
        <f>Table1[[#This Row],[Sales Amount]]-Table1[[#This Row],[Cost Amount]]</f>
        <v>945.66000000000008</v>
      </c>
      <c r="O244" t="str">
        <f>"Q"&amp;ROUNDUP(MONTH(Table1[[#This Row],[Order Date]])/3,0)</f>
        <v>Q3</v>
      </c>
      <c r="P244" t="str">
        <f>TEXT(Table1[[#This Row],[Order Date]],"MMM")</f>
        <v>Sep</v>
      </c>
      <c r="Q244">
        <f>MONTH(Table1[[#This Row],[Order Date]])</f>
        <v>9</v>
      </c>
    </row>
    <row r="245" spans="1:17" x14ac:dyDescent="0.25">
      <c r="A245" t="s">
        <v>611</v>
      </c>
      <c r="B245" s="2">
        <v>46334</v>
      </c>
      <c r="C245">
        <v>2026</v>
      </c>
      <c r="D245" t="s">
        <v>81</v>
      </c>
      <c r="E245" t="s">
        <v>261</v>
      </c>
      <c r="F245" t="s">
        <v>106</v>
      </c>
      <c r="G245" t="s">
        <v>107</v>
      </c>
      <c r="H245" t="s">
        <v>35</v>
      </c>
      <c r="I245" t="s">
        <v>52</v>
      </c>
      <c r="J245">
        <v>10</v>
      </c>
      <c r="K245">
        <v>378.36</v>
      </c>
      <c r="L245">
        <v>2381.84</v>
      </c>
      <c r="M245">
        <f>Table1[[#This Row],[Quantity Sold]]*Table1[[#This Row],[Unit Price]]</f>
        <v>3783.6000000000004</v>
      </c>
      <c r="N245">
        <f>Table1[[#This Row],[Sales Amount]]-Table1[[#This Row],[Cost Amount]]</f>
        <v>1401.7600000000002</v>
      </c>
      <c r="O245" t="str">
        <f>"Q"&amp;ROUNDUP(MONTH(Table1[[#This Row],[Order Date]])/3,0)</f>
        <v>Q4</v>
      </c>
      <c r="P245" t="str">
        <f>TEXT(Table1[[#This Row],[Order Date]],"MMM")</f>
        <v>Nov</v>
      </c>
      <c r="Q245">
        <f>MONTH(Table1[[#This Row],[Order Date]])</f>
        <v>11</v>
      </c>
    </row>
    <row r="246" spans="1:17" x14ac:dyDescent="0.25">
      <c r="A246" t="s">
        <v>612</v>
      </c>
      <c r="B246" s="2">
        <v>46043</v>
      </c>
      <c r="C246">
        <v>2026</v>
      </c>
      <c r="D246" t="s">
        <v>613</v>
      </c>
      <c r="E246" t="s">
        <v>312</v>
      </c>
      <c r="F246" t="s">
        <v>139</v>
      </c>
      <c r="G246" t="s">
        <v>140</v>
      </c>
      <c r="H246" t="s">
        <v>22</v>
      </c>
      <c r="I246" t="s">
        <v>42</v>
      </c>
      <c r="J246">
        <v>9</v>
      </c>
      <c r="K246">
        <v>325.83999999999997</v>
      </c>
      <c r="L246">
        <v>1778.77</v>
      </c>
      <c r="M246">
        <f>Table1[[#This Row],[Quantity Sold]]*Table1[[#This Row],[Unit Price]]</f>
        <v>2932.56</v>
      </c>
      <c r="N246">
        <f>Table1[[#This Row],[Sales Amount]]-Table1[[#This Row],[Cost Amount]]</f>
        <v>1153.79</v>
      </c>
      <c r="O246" t="str">
        <f>"Q"&amp;ROUNDUP(MONTH(Table1[[#This Row],[Order Date]])/3,0)</f>
        <v>Q1</v>
      </c>
      <c r="P246" t="str">
        <f>TEXT(Table1[[#This Row],[Order Date]],"MMM")</f>
        <v>Jan</v>
      </c>
      <c r="Q246">
        <f>MONTH(Table1[[#This Row],[Order Date]])</f>
        <v>1</v>
      </c>
    </row>
    <row r="247" spans="1:17" x14ac:dyDescent="0.25">
      <c r="A247" t="s">
        <v>614</v>
      </c>
      <c r="B247" s="2">
        <v>46290</v>
      </c>
      <c r="C247">
        <v>2026</v>
      </c>
      <c r="D247" t="s">
        <v>239</v>
      </c>
      <c r="E247" t="s">
        <v>615</v>
      </c>
      <c r="F247" t="s">
        <v>249</v>
      </c>
      <c r="G247" t="s">
        <v>250</v>
      </c>
      <c r="H247" t="s">
        <v>51</v>
      </c>
      <c r="I247" t="s">
        <v>23</v>
      </c>
      <c r="J247">
        <v>15</v>
      </c>
      <c r="K247">
        <v>247.77</v>
      </c>
      <c r="L247">
        <v>2386.1999999999998</v>
      </c>
      <c r="M247">
        <f>Table1[[#This Row],[Quantity Sold]]*Table1[[#This Row],[Unit Price]]</f>
        <v>3716.55</v>
      </c>
      <c r="N247">
        <f>Table1[[#This Row],[Sales Amount]]-Table1[[#This Row],[Cost Amount]]</f>
        <v>1330.3500000000004</v>
      </c>
      <c r="O247" t="str">
        <f>"Q"&amp;ROUNDUP(MONTH(Table1[[#This Row],[Order Date]])/3,0)</f>
        <v>Q3</v>
      </c>
      <c r="P247" t="str">
        <f>TEXT(Table1[[#This Row],[Order Date]],"MMM")</f>
        <v>Sep</v>
      </c>
      <c r="Q247">
        <f>MONTH(Table1[[#This Row],[Order Date]])</f>
        <v>9</v>
      </c>
    </row>
    <row r="248" spans="1:17" x14ac:dyDescent="0.25">
      <c r="A248" t="s">
        <v>616</v>
      </c>
      <c r="B248" s="2">
        <v>46182</v>
      </c>
      <c r="C248">
        <v>2026</v>
      </c>
      <c r="D248" t="s">
        <v>206</v>
      </c>
      <c r="E248" t="s">
        <v>172</v>
      </c>
      <c r="F248" t="s">
        <v>278</v>
      </c>
      <c r="G248" t="s">
        <v>279</v>
      </c>
      <c r="H248" t="s">
        <v>220</v>
      </c>
      <c r="I248" t="s">
        <v>23</v>
      </c>
      <c r="J248">
        <v>20</v>
      </c>
      <c r="K248">
        <v>47.95</v>
      </c>
      <c r="L248">
        <v>653.89</v>
      </c>
      <c r="M248">
        <f>Table1[[#This Row],[Quantity Sold]]*Table1[[#This Row],[Unit Price]]</f>
        <v>959</v>
      </c>
      <c r="N248">
        <f>Table1[[#This Row],[Sales Amount]]-Table1[[#This Row],[Cost Amount]]</f>
        <v>305.11</v>
      </c>
      <c r="O248" t="str">
        <f>"Q"&amp;ROUNDUP(MONTH(Table1[[#This Row],[Order Date]])/3,0)</f>
        <v>Q2</v>
      </c>
      <c r="P248" t="str">
        <f>TEXT(Table1[[#This Row],[Order Date]],"MMM")</f>
        <v>Jun</v>
      </c>
      <c r="Q248">
        <f>MONTH(Table1[[#This Row],[Order Date]])</f>
        <v>6</v>
      </c>
    </row>
    <row r="249" spans="1:17" x14ac:dyDescent="0.25">
      <c r="A249" t="s">
        <v>617</v>
      </c>
      <c r="B249" s="2">
        <v>46356</v>
      </c>
      <c r="C249">
        <v>2026</v>
      </c>
      <c r="D249" t="s">
        <v>427</v>
      </c>
      <c r="E249" t="s">
        <v>618</v>
      </c>
      <c r="F249" t="s">
        <v>72</v>
      </c>
      <c r="G249" t="s">
        <v>73</v>
      </c>
      <c r="H249" t="s">
        <v>41</v>
      </c>
      <c r="I249" t="s">
        <v>29</v>
      </c>
      <c r="J249">
        <v>16</v>
      </c>
      <c r="K249">
        <v>273.33</v>
      </c>
      <c r="L249">
        <v>3184.32</v>
      </c>
      <c r="M249">
        <f>Table1[[#This Row],[Quantity Sold]]*Table1[[#This Row],[Unit Price]]</f>
        <v>4373.28</v>
      </c>
      <c r="N249">
        <f>Table1[[#This Row],[Sales Amount]]-Table1[[#This Row],[Cost Amount]]</f>
        <v>1188.9599999999996</v>
      </c>
      <c r="O249" t="str">
        <f>"Q"&amp;ROUNDUP(MONTH(Table1[[#This Row],[Order Date]])/3,0)</f>
        <v>Q4</v>
      </c>
      <c r="P249" t="str">
        <f>TEXT(Table1[[#This Row],[Order Date]],"MMM")</f>
        <v>Nov</v>
      </c>
      <c r="Q249">
        <f>MONTH(Table1[[#This Row],[Order Date]])</f>
        <v>11</v>
      </c>
    </row>
    <row r="250" spans="1:17" x14ac:dyDescent="0.25">
      <c r="A250" t="s">
        <v>619</v>
      </c>
      <c r="B250" s="2">
        <v>46081</v>
      </c>
      <c r="C250">
        <v>2026</v>
      </c>
      <c r="D250" t="s">
        <v>268</v>
      </c>
      <c r="E250" t="s">
        <v>620</v>
      </c>
      <c r="F250" t="s">
        <v>190</v>
      </c>
      <c r="G250" t="s">
        <v>191</v>
      </c>
      <c r="H250" t="s">
        <v>35</v>
      </c>
      <c r="I250" t="s">
        <v>29</v>
      </c>
      <c r="J250">
        <v>9</v>
      </c>
      <c r="K250">
        <v>366.05</v>
      </c>
      <c r="L250">
        <v>2168.4</v>
      </c>
      <c r="M250">
        <f>Table1[[#This Row],[Quantity Sold]]*Table1[[#This Row],[Unit Price]]</f>
        <v>3294.4500000000003</v>
      </c>
      <c r="N250">
        <f>Table1[[#This Row],[Sales Amount]]-Table1[[#This Row],[Cost Amount]]</f>
        <v>1126.0500000000002</v>
      </c>
      <c r="O250" t="str">
        <f>"Q"&amp;ROUNDUP(MONTH(Table1[[#This Row],[Order Date]])/3,0)</f>
        <v>Q1</v>
      </c>
      <c r="P250" t="str">
        <f>TEXT(Table1[[#This Row],[Order Date]],"MMM")</f>
        <v>Feb</v>
      </c>
      <c r="Q250">
        <f>MONTH(Table1[[#This Row],[Order Date]])</f>
        <v>2</v>
      </c>
    </row>
    <row r="251" spans="1:17" x14ac:dyDescent="0.25">
      <c r="A251" t="s">
        <v>621</v>
      </c>
      <c r="B251" s="2">
        <v>46137</v>
      </c>
      <c r="C251">
        <v>2026</v>
      </c>
      <c r="D251" t="s">
        <v>64</v>
      </c>
      <c r="E251" t="s">
        <v>622</v>
      </c>
      <c r="F251" t="s">
        <v>347</v>
      </c>
      <c r="G251" t="s">
        <v>348</v>
      </c>
      <c r="H251" t="s">
        <v>68</v>
      </c>
      <c r="I251" t="s">
        <v>29</v>
      </c>
      <c r="J251">
        <v>20</v>
      </c>
      <c r="K251">
        <v>454.62</v>
      </c>
      <c r="L251">
        <v>7075.47</v>
      </c>
      <c r="M251">
        <f>Table1[[#This Row],[Quantity Sold]]*Table1[[#This Row],[Unit Price]]</f>
        <v>9092.4</v>
      </c>
      <c r="N251">
        <f>Table1[[#This Row],[Sales Amount]]-Table1[[#This Row],[Cost Amount]]</f>
        <v>2016.9299999999994</v>
      </c>
      <c r="O251" t="str">
        <f>"Q"&amp;ROUNDUP(MONTH(Table1[[#This Row],[Order Date]])/3,0)</f>
        <v>Q2</v>
      </c>
      <c r="P251" t="str">
        <f>TEXT(Table1[[#This Row],[Order Date]],"MMM")</f>
        <v>Apr</v>
      </c>
      <c r="Q251">
        <f>MONTH(Table1[[#This Row],[Order Date]])</f>
        <v>4</v>
      </c>
    </row>
    <row r="252" spans="1:17" x14ac:dyDescent="0.25">
      <c r="A252" t="s">
        <v>623</v>
      </c>
      <c r="B252" s="2">
        <v>46058</v>
      </c>
      <c r="C252">
        <v>2026</v>
      </c>
      <c r="D252" t="s">
        <v>427</v>
      </c>
      <c r="E252" t="s">
        <v>624</v>
      </c>
      <c r="F252" t="s">
        <v>66</v>
      </c>
      <c r="G252" t="s">
        <v>67</v>
      </c>
      <c r="H252" t="s">
        <v>68</v>
      </c>
      <c r="I252" t="s">
        <v>23</v>
      </c>
      <c r="J252">
        <v>16</v>
      </c>
      <c r="K252">
        <v>82.81</v>
      </c>
      <c r="L252">
        <v>830.57</v>
      </c>
      <c r="M252">
        <f>Table1[[#This Row],[Quantity Sold]]*Table1[[#This Row],[Unit Price]]</f>
        <v>1324.96</v>
      </c>
      <c r="N252">
        <f>Table1[[#This Row],[Sales Amount]]-Table1[[#This Row],[Cost Amount]]</f>
        <v>494.39</v>
      </c>
      <c r="O252" t="str">
        <f>"Q"&amp;ROUNDUP(MONTH(Table1[[#This Row],[Order Date]])/3,0)</f>
        <v>Q1</v>
      </c>
      <c r="P252" t="str">
        <f>TEXT(Table1[[#This Row],[Order Date]],"MMM")</f>
        <v>Feb</v>
      </c>
      <c r="Q252">
        <f>MONTH(Table1[[#This Row],[Order Date]])</f>
        <v>2</v>
      </c>
    </row>
    <row r="253" spans="1:17" x14ac:dyDescent="0.25">
      <c r="A253" t="s">
        <v>625</v>
      </c>
      <c r="B253" s="2">
        <v>46256</v>
      </c>
      <c r="C253">
        <v>2026</v>
      </c>
      <c r="D253" t="s">
        <v>417</v>
      </c>
      <c r="E253" t="s">
        <v>113</v>
      </c>
      <c r="F253" t="s">
        <v>101</v>
      </c>
      <c r="G253" t="s">
        <v>102</v>
      </c>
      <c r="H253" t="s">
        <v>22</v>
      </c>
      <c r="I253" t="s">
        <v>42</v>
      </c>
      <c r="J253">
        <v>9</v>
      </c>
      <c r="K253">
        <v>380.67</v>
      </c>
      <c r="L253">
        <v>1940.48</v>
      </c>
      <c r="M253">
        <f>Table1[[#This Row],[Quantity Sold]]*Table1[[#This Row],[Unit Price]]</f>
        <v>3426.03</v>
      </c>
      <c r="N253">
        <f>Table1[[#This Row],[Sales Amount]]-Table1[[#This Row],[Cost Amount]]</f>
        <v>1485.5500000000002</v>
      </c>
      <c r="O253" t="str">
        <f>"Q"&amp;ROUNDUP(MONTH(Table1[[#This Row],[Order Date]])/3,0)</f>
        <v>Q3</v>
      </c>
      <c r="P253" t="str">
        <f>TEXT(Table1[[#This Row],[Order Date]],"MMM")</f>
        <v>Aug</v>
      </c>
      <c r="Q253">
        <f>MONTH(Table1[[#This Row],[Order Date]])</f>
        <v>8</v>
      </c>
    </row>
    <row r="254" spans="1:17" x14ac:dyDescent="0.25">
      <c r="A254" t="s">
        <v>626</v>
      </c>
      <c r="B254" s="2">
        <v>46207</v>
      </c>
      <c r="C254">
        <v>2026</v>
      </c>
      <c r="D254" t="s">
        <v>357</v>
      </c>
      <c r="E254" t="s">
        <v>423</v>
      </c>
      <c r="F254" t="s">
        <v>317</v>
      </c>
      <c r="G254" t="s">
        <v>318</v>
      </c>
      <c r="H254" t="s">
        <v>22</v>
      </c>
      <c r="I254" t="s">
        <v>29</v>
      </c>
      <c r="J254">
        <v>7</v>
      </c>
      <c r="K254">
        <v>298.75</v>
      </c>
      <c r="L254">
        <v>1152.0899999999999</v>
      </c>
      <c r="M254">
        <f>Table1[[#This Row],[Quantity Sold]]*Table1[[#This Row],[Unit Price]]</f>
        <v>2091.25</v>
      </c>
      <c r="N254">
        <f>Table1[[#This Row],[Sales Amount]]-Table1[[#This Row],[Cost Amount]]</f>
        <v>939.16000000000008</v>
      </c>
      <c r="O254" t="str">
        <f>"Q"&amp;ROUNDUP(MONTH(Table1[[#This Row],[Order Date]])/3,0)</f>
        <v>Q3</v>
      </c>
      <c r="P254" t="str">
        <f>TEXT(Table1[[#This Row],[Order Date]],"MMM")</f>
        <v>Jul</v>
      </c>
      <c r="Q254">
        <f>MONTH(Table1[[#This Row],[Order Date]])</f>
        <v>7</v>
      </c>
    </row>
    <row r="255" spans="1:17" x14ac:dyDescent="0.25">
      <c r="A255" t="s">
        <v>627</v>
      </c>
      <c r="B255" s="2">
        <v>46150</v>
      </c>
      <c r="C255">
        <v>2026</v>
      </c>
      <c r="D255" t="s">
        <v>268</v>
      </c>
      <c r="E255" t="s">
        <v>628</v>
      </c>
      <c r="F255" t="s">
        <v>56</v>
      </c>
      <c r="G255" t="s">
        <v>57</v>
      </c>
      <c r="H255" t="s">
        <v>51</v>
      </c>
      <c r="I255" t="s">
        <v>42</v>
      </c>
      <c r="J255">
        <v>20</v>
      </c>
      <c r="K255">
        <v>286.11</v>
      </c>
      <c r="L255">
        <v>3596.9</v>
      </c>
      <c r="M255">
        <f>Table1[[#This Row],[Quantity Sold]]*Table1[[#This Row],[Unit Price]]</f>
        <v>5722.2000000000007</v>
      </c>
      <c r="N255">
        <f>Table1[[#This Row],[Sales Amount]]-Table1[[#This Row],[Cost Amount]]</f>
        <v>2125.3000000000006</v>
      </c>
      <c r="O255" t="str">
        <f>"Q"&amp;ROUNDUP(MONTH(Table1[[#This Row],[Order Date]])/3,0)</f>
        <v>Q2</v>
      </c>
      <c r="P255" t="str">
        <f>TEXT(Table1[[#This Row],[Order Date]],"MMM")</f>
        <v>May</v>
      </c>
      <c r="Q255">
        <f>MONTH(Table1[[#This Row],[Order Date]])</f>
        <v>5</v>
      </c>
    </row>
    <row r="256" spans="1:17" x14ac:dyDescent="0.25">
      <c r="A256" t="s">
        <v>629</v>
      </c>
      <c r="B256" s="2">
        <v>46062</v>
      </c>
      <c r="C256">
        <v>2026</v>
      </c>
      <c r="D256" t="s">
        <v>630</v>
      </c>
      <c r="E256" t="s">
        <v>631</v>
      </c>
      <c r="F256" t="s">
        <v>317</v>
      </c>
      <c r="G256" t="s">
        <v>318</v>
      </c>
      <c r="H256" t="s">
        <v>22</v>
      </c>
      <c r="I256" t="s">
        <v>29</v>
      </c>
      <c r="J256">
        <v>11</v>
      </c>
      <c r="K256">
        <v>95.09</v>
      </c>
      <c r="L256">
        <v>765.52</v>
      </c>
      <c r="M256">
        <f>Table1[[#This Row],[Quantity Sold]]*Table1[[#This Row],[Unit Price]]</f>
        <v>1045.99</v>
      </c>
      <c r="N256">
        <f>Table1[[#This Row],[Sales Amount]]-Table1[[#This Row],[Cost Amount]]</f>
        <v>280.47000000000003</v>
      </c>
      <c r="O256" t="str">
        <f>"Q"&amp;ROUNDUP(MONTH(Table1[[#This Row],[Order Date]])/3,0)</f>
        <v>Q1</v>
      </c>
      <c r="P256" t="str">
        <f>TEXT(Table1[[#This Row],[Order Date]],"MMM")</f>
        <v>Feb</v>
      </c>
      <c r="Q256">
        <f>MONTH(Table1[[#This Row],[Order Date]])</f>
        <v>2</v>
      </c>
    </row>
    <row r="257" spans="1:17" x14ac:dyDescent="0.25">
      <c r="A257" t="s">
        <v>632</v>
      </c>
      <c r="B257" s="2">
        <v>46354</v>
      </c>
      <c r="C257">
        <v>2026</v>
      </c>
      <c r="D257" t="s">
        <v>288</v>
      </c>
      <c r="E257" t="s">
        <v>350</v>
      </c>
      <c r="F257" t="s">
        <v>169</v>
      </c>
      <c r="G257" t="s">
        <v>170</v>
      </c>
      <c r="H257" t="s">
        <v>22</v>
      </c>
      <c r="I257" t="s">
        <v>42</v>
      </c>
      <c r="J257">
        <v>5</v>
      </c>
      <c r="K257">
        <v>328.25</v>
      </c>
      <c r="L257">
        <v>952.99</v>
      </c>
      <c r="M257">
        <f>Table1[[#This Row],[Quantity Sold]]*Table1[[#This Row],[Unit Price]]</f>
        <v>1641.25</v>
      </c>
      <c r="N257">
        <f>Table1[[#This Row],[Sales Amount]]-Table1[[#This Row],[Cost Amount]]</f>
        <v>688.26</v>
      </c>
      <c r="O257" t="str">
        <f>"Q"&amp;ROUNDUP(MONTH(Table1[[#This Row],[Order Date]])/3,0)</f>
        <v>Q4</v>
      </c>
      <c r="P257" t="str">
        <f>TEXT(Table1[[#This Row],[Order Date]],"MMM")</f>
        <v>Nov</v>
      </c>
      <c r="Q257">
        <f>MONTH(Table1[[#This Row],[Order Date]])</f>
        <v>11</v>
      </c>
    </row>
    <row r="258" spans="1:17" x14ac:dyDescent="0.25">
      <c r="A258" t="s">
        <v>633</v>
      </c>
      <c r="B258" s="2">
        <v>46361</v>
      </c>
      <c r="C258">
        <v>2026</v>
      </c>
      <c r="D258" t="s">
        <v>25</v>
      </c>
      <c r="E258" t="s">
        <v>176</v>
      </c>
      <c r="F258" t="s">
        <v>440</v>
      </c>
      <c r="G258" t="s">
        <v>441</v>
      </c>
      <c r="H258" t="s">
        <v>97</v>
      </c>
      <c r="I258" t="s">
        <v>23</v>
      </c>
      <c r="J258">
        <v>10</v>
      </c>
      <c r="K258">
        <v>373.45</v>
      </c>
      <c r="L258">
        <v>2191.7600000000002</v>
      </c>
      <c r="M258">
        <f>Table1[[#This Row],[Quantity Sold]]*Table1[[#This Row],[Unit Price]]</f>
        <v>3734.5</v>
      </c>
      <c r="N258">
        <f>Table1[[#This Row],[Sales Amount]]-Table1[[#This Row],[Cost Amount]]</f>
        <v>1542.7399999999998</v>
      </c>
      <c r="O258" t="str">
        <f>"Q"&amp;ROUNDUP(MONTH(Table1[[#This Row],[Order Date]])/3,0)</f>
        <v>Q4</v>
      </c>
      <c r="P258" t="str">
        <f>TEXT(Table1[[#This Row],[Order Date]],"MMM")</f>
        <v>Dec</v>
      </c>
      <c r="Q258">
        <f>MONTH(Table1[[#This Row],[Order Date]])</f>
        <v>12</v>
      </c>
    </row>
    <row r="259" spans="1:17" x14ac:dyDescent="0.25">
      <c r="A259" t="s">
        <v>634</v>
      </c>
      <c r="B259" s="2">
        <v>46214</v>
      </c>
      <c r="C259">
        <v>2026</v>
      </c>
      <c r="D259" t="s">
        <v>415</v>
      </c>
      <c r="E259" t="s">
        <v>544</v>
      </c>
      <c r="F259" t="s">
        <v>293</v>
      </c>
      <c r="G259" t="s">
        <v>294</v>
      </c>
      <c r="H259" t="s">
        <v>68</v>
      </c>
      <c r="I259" t="s">
        <v>29</v>
      </c>
      <c r="J259">
        <v>8</v>
      </c>
      <c r="K259">
        <v>462.85</v>
      </c>
      <c r="L259">
        <v>2295.48</v>
      </c>
      <c r="M259">
        <f>Table1[[#This Row],[Quantity Sold]]*Table1[[#This Row],[Unit Price]]</f>
        <v>3702.8</v>
      </c>
      <c r="N259">
        <f>Table1[[#This Row],[Sales Amount]]-Table1[[#This Row],[Cost Amount]]</f>
        <v>1407.3200000000002</v>
      </c>
      <c r="O259" t="str">
        <f>"Q"&amp;ROUNDUP(MONTH(Table1[[#This Row],[Order Date]])/3,0)</f>
        <v>Q3</v>
      </c>
      <c r="P259" t="str">
        <f>TEXT(Table1[[#This Row],[Order Date]],"MMM")</f>
        <v>Jul</v>
      </c>
      <c r="Q259">
        <f>MONTH(Table1[[#This Row],[Order Date]])</f>
        <v>7</v>
      </c>
    </row>
    <row r="260" spans="1:17" x14ac:dyDescent="0.25">
      <c r="A260" t="s">
        <v>635</v>
      </c>
      <c r="B260" s="2">
        <v>46053</v>
      </c>
      <c r="C260">
        <v>2026</v>
      </c>
      <c r="D260" t="s">
        <v>152</v>
      </c>
      <c r="E260" t="s">
        <v>408</v>
      </c>
      <c r="F260" t="s">
        <v>20</v>
      </c>
      <c r="G260" t="s">
        <v>21</v>
      </c>
      <c r="H260" t="s">
        <v>22</v>
      </c>
      <c r="I260" t="s">
        <v>23</v>
      </c>
      <c r="J260">
        <v>20</v>
      </c>
      <c r="K260">
        <v>453.52</v>
      </c>
      <c r="L260">
        <v>6508.34</v>
      </c>
      <c r="M260">
        <f>Table1[[#This Row],[Quantity Sold]]*Table1[[#This Row],[Unit Price]]</f>
        <v>9070.4</v>
      </c>
      <c r="N260">
        <f>Table1[[#This Row],[Sales Amount]]-Table1[[#This Row],[Cost Amount]]</f>
        <v>2562.0599999999995</v>
      </c>
      <c r="O260" t="str">
        <f>"Q"&amp;ROUNDUP(MONTH(Table1[[#This Row],[Order Date]])/3,0)</f>
        <v>Q1</v>
      </c>
      <c r="P260" t="str">
        <f>TEXT(Table1[[#This Row],[Order Date]],"MMM")</f>
        <v>Jan</v>
      </c>
      <c r="Q260">
        <f>MONTH(Table1[[#This Row],[Order Date]])</f>
        <v>1</v>
      </c>
    </row>
    <row r="261" spans="1:17" x14ac:dyDescent="0.25">
      <c r="A261" t="s">
        <v>636</v>
      </c>
      <c r="B261" s="2">
        <v>46023</v>
      </c>
      <c r="C261">
        <v>2026</v>
      </c>
      <c r="D261" t="s">
        <v>637</v>
      </c>
      <c r="E261" t="s">
        <v>158</v>
      </c>
      <c r="F261" t="s">
        <v>399</v>
      </c>
      <c r="G261" t="s">
        <v>400</v>
      </c>
      <c r="H261" t="s">
        <v>22</v>
      </c>
      <c r="I261" t="s">
        <v>23</v>
      </c>
      <c r="J261">
        <v>4</v>
      </c>
      <c r="K261">
        <v>440.45</v>
      </c>
      <c r="L261">
        <v>1165.46</v>
      </c>
      <c r="M261">
        <f>Table1[[#This Row],[Quantity Sold]]*Table1[[#This Row],[Unit Price]]</f>
        <v>1761.8</v>
      </c>
      <c r="N261">
        <f>Table1[[#This Row],[Sales Amount]]-Table1[[#This Row],[Cost Amount]]</f>
        <v>596.33999999999992</v>
      </c>
      <c r="O261" t="str">
        <f>"Q"&amp;ROUNDUP(MONTH(Table1[[#This Row],[Order Date]])/3,0)</f>
        <v>Q1</v>
      </c>
      <c r="P261" t="str">
        <f>TEXT(Table1[[#This Row],[Order Date]],"MMM")</f>
        <v>Jan</v>
      </c>
      <c r="Q261">
        <f>MONTH(Table1[[#This Row],[Order Date]])</f>
        <v>1</v>
      </c>
    </row>
    <row r="262" spans="1:17" x14ac:dyDescent="0.25">
      <c r="A262" t="s">
        <v>638</v>
      </c>
      <c r="B262" s="2">
        <v>46038</v>
      </c>
      <c r="C262">
        <v>2026</v>
      </c>
      <c r="D262" t="s">
        <v>232</v>
      </c>
      <c r="E262" t="s">
        <v>133</v>
      </c>
      <c r="F262" t="s">
        <v>61</v>
      </c>
      <c r="G262" t="s">
        <v>62</v>
      </c>
      <c r="H262" t="s">
        <v>22</v>
      </c>
      <c r="I262" t="s">
        <v>29</v>
      </c>
      <c r="J262">
        <v>10</v>
      </c>
      <c r="K262">
        <v>394.46</v>
      </c>
      <c r="L262">
        <v>2649.43</v>
      </c>
      <c r="M262">
        <f>Table1[[#This Row],[Quantity Sold]]*Table1[[#This Row],[Unit Price]]</f>
        <v>3944.6</v>
      </c>
      <c r="N262">
        <f>Table1[[#This Row],[Sales Amount]]-Table1[[#This Row],[Cost Amount]]</f>
        <v>1295.17</v>
      </c>
      <c r="O262" t="str">
        <f>"Q"&amp;ROUNDUP(MONTH(Table1[[#This Row],[Order Date]])/3,0)</f>
        <v>Q1</v>
      </c>
      <c r="P262" t="str">
        <f>TEXT(Table1[[#This Row],[Order Date]],"MMM")</f>
        <v>Jan</v>
      </c>
      <c r="Q262">
        <f>MONTH(Table1[[#This Row],[Order Date]])</f>
        <v>1</v>
      </c>
    </row>
    <row r="263" spans="1:17" x14ac:dyDescent="0.25">
      <c r="A263" t="s">
        <v>639</v>
      </c>
      <c r="B263" s="2">
        <v>46286</v>
      </c>
      <c r="C263">
        <v>2026</v>
      </c>
      <c r="D263" t="s">
        <v>257</v>
      </c>
      <c r="E263" t="s">
        <v>435</v>
      </c>
      <c r="F263" t="s">
        <v>241</v>
      </c>
      <c r="G263" t="s">
        <v>242</v>
      </c>
      <c r="H263" t="s">
        <v>35</v>
      </c>
      <c r="I263" t="s">
        <v>23</v>
      </c>
      <c r="J263">
        <v>13</v>
      </c>
      <c r="K263">
        <v>241.26</v>
      </c>
      <c r="L263">
        <v>2450.42</v>
      </c>
      <c r="M263">
        <f>Table1[[#This Row],[Quantity Sold]]*Table1[[#This Row],[Unit Price]]</f>
        <v>3136.38</v>
      </c>
      <c r="N263">
        <f>Table1[[#This Row],[Sales Amount]]-Table1[[#This Row],[Cost Amount]]</f>
        <v>685.96</v>
      </c>
      <c r="O263" t="str">
        <f>"Q"&amp;ROUNDUP(MONTH(Table1[[#This Row],[Order Date]])/3,0)</f>
        <v>Q3</v>
      </c>
      <c r="P263" t="str">
        <f>TEXT(Table1[[#This Row],[Order Date]],"MMM")</f>
        <v>Sep</v>
      </c>
      <c r="Q263">
        <f>MONTH(Table1[[#This Row],[Order Date]])</f>
        <v>9</v>
      </c>
    </row>
    <row r="264" spans="1:17" x14ac:dyDescent="0.25">
      <c r="A264" t="s">
        <v>640</v>
      </c>
      <c r="B264" s="2">
        <v>46061</v>
      </c>
      <c r="C264">
        <v>2026</v>
      </c>
      <c r="D264" t="s">
        <v>200</v>
      </c>
      <c r="E264" t="s">
        <v>641</v>
      </c>
      <c r="F264" t="s">
        <v>394</v>
      </c>
      <c r="G264" t="s">
        <v>395</v>
      </c>
      <c r="H264" t="s">
        <v>68</v>
      </c>
      <c r="I264" t="s">
        <v>23</v>
      </c>
      <c r="J264">
        <v>20</v>
      </c>
      <c r="K264">
        <v>227.07</v>
      </c>
      <c r="L264">
        <v>3051.73</v>
      </c>
      <c r="M264">
        <f>Table1[[#This Row],[Quantity Sold]]*Table1[[#This Row],[Unit Price]]</f>
        <v>4541.3999999999996</v>
      </c>
      <c r="N264">
        <f>Table1[[#This Row],[Sales Amount]]-Table1[[#This Row],[Cost Amount]]</f>
        <v>1489.6699999999996</v>
      </c>
      <c r="O264" t="str">
        <f>"Q"&amp;ROUNDUP(MONTH(Table1[[#This Row],[Order Date]])/3,0)</f>
        <v>Q1</v>
      </c>
      <c r="P264" t="str">
        <f>TEXT(Table1[[#This Row],[Order Date]],"MMM")</f>
        <v>Feb</v>
      </c>
      <c r="Q264">
        <f>MONTH(Table1[[#This Row],[Order Date]])</f>
        <v>2</v>
      </c>
    </row>
    <row r="265" spans="1:17" x14ac:dyDescent="0.25">
      <c r="A265" t="s">
        <v>642</v>
      </c>
      <c r="B265" s="2">
        <v>46089</v>
      </c>
      <c r="C265">
        <v>2026</v>
      </c>
      <c r="D265" t="s">
        <v>118</v>
      </c>
      <c r="E265" t="s">
        <v>477</v>
      </c>
      <c r="F265" t="s">
        <v>163</v>
      </c>
      <c r="G265" t="s">
        <v>164</v>
      </c>
      <c r="H265" t="s">
        <v>68</v>
      </c>
      <c r="I265" t="s">
        <v>52</v>
      </c>
      <c r="J265">
        <v>7</v>
      </c>
      <c r="K265">
        <v>476.38</v>
      </c>
      <c r="L265">
        <v>1889.3</v>
      </c>
      <c r="M265">
        <f>Table1[[#This Row],[Quantity Sold]]*Table1[[#This Row],[Unit Price]]</f>
        <v>3334.66</v>
      </c>
      <c r="N265">
        <f>Table1[[#This Row],[Sales Amount]]-Table1[[#This Row],[Cost Amount]]</f>
        <v>1445.36</v>
      </c>
      <c r="O265" t="str">
        <f>"Q"&amp;ROUNDUP(MONTH(Table1[[#This Row],[Order Date]])/3,0)</f>
        <v>Q1</v>
      </c>
      <c r="P265" t="str">
        <f>TEXT(Table1[[#This Row],[Order Date]],"MMM")</f>
        <v>Mar</v>
      </c>
      <c r="Q265">
        <f>MONTH(Table1[[#This Row],[Order Date]])</f>
        <v>3</v>
      </c>
    </row>
    <row r="266" spans="1:17" x14ac:dyDescent="0.25">
      <c r="A266" t="s">
        <v>643</v>
      </c>
      <c r="B266" s="2">
        <v>46253</v>
      </c>
      <c r="C266">
        <v>2026</v>
      </c>
      <c r="D266" t="s">
        <v>404</v>
      </c>
      <c r="E266" t="s">
        <v>453</v>
      </c>
      <c r="F266" t="s">
        <v>106</v>
      </c>
      <c r="G266" t="s">
        <v>107</v>
      </c>
      <c r="H266" t="s">
        <v>35</v>
      </c>
      <c r="I266" t="s">
        <v>23</v>
      </c>
      <c r="J266">
        <v>4</v>
      </c>
      <c r="K266">
        <v>289.60000000000002</v>
      </c>
      <c r="L266">
        <v>694.47</v>
      </c>
      <c r="M266">
        <f>Table1[[#This Row],[Quantity Sold]]*Table1[[#This Row],[Unit Price]]</f>
        <v>1158.4000000000001</v>
      </c>
      <c r="N266">
        <f>Table1[[#This Row],[Sales Amount]]-Table1[[#This Row],[Cost Amount]]</f>
        <v>463.93000000000006</v>
      </c>
      <c r="O266" t="str">
        <f>"Q"&amp;ROUNDUP(MONTH(Table1[[#This Row],[Order Date]])/3,0)</f>
        <v>Q3</v>
      </c>
      <c r="P266" t="str">
        <f>TEXT(Table1[[#This Row],[Order Date]],"MMM")</f>
        <v>Aug</v>
      </c>
      <c r="Q266">
        <f>MONTH(Table1[[#This Row],[Order Date]])</f>
        <v>8</v>
      </c>
    </row>
    <row r="267" spans="1:17" x14ac:dyDescent="0.25">
      <c r="A267" t="s">
        <v>644</v>
      </c>
      <c r="B267" s="2">
        <v>46065</v>
      </c>
      <c r="C267">
        <v>2026</v>
      </c>
      <c r="D267" t="s">
        <v>291</v>
      </c>
      <c r="E267" t="s">
        <v>252</v>
      </c>
      <c r="F267" t="s">
        <v>484</v>
      </c>
      <c r="G267" t="s">
        <v>485</v>
      </c>
      <c r="H267" t="s">
        <v>97</v>
      </c>
      <c r="I267" t="s">
        <v>52</v>
      </c>
      <c r="J267">
        <v>17</v>
      </c>
      <c r="K267">
        <v>326.02999999999997</v>
      </c>
      <c r="L267">
        <v>4031.23</v>
      </c>
      <c r="M267">
        <f>Table1[[#This Row],[Quantity Sold]]*Table1[[#This Row],[Unit Price]]</f>
        <v>5542.5099999999993</v>
      </c>
      <c r="N267">
        <f>Table1[[#This Row],[Sales Amount]]-Table1[[#This Row],[Cost Amount]]</f>
        <v>1511.2799999999993</v>
      </c>
      <c r="O267" t="str">
        <f>"Q"&amp;ROUNDUP(MONTH(Table1[[#This Row],[Order Date]])/3,0)</f>
        <v>Q1</v>
      </c>
      <c r="P267" t="str">
        <f>TEXT(Table1[[#This Row],[Order Date]],"MMM")</f>
        <v>Feb</v>
      </c>
      <c r="Q267">
        <f>MONTH(Table1[[#This Row],[Order Date]])</f>
        <v>2</v>
      </c>
    </row>
    <row r="268" spans="1:17" x14ac:dyDescent="0.25">
      <c r="A268" t="s">
        <v>645</v>
      </c>
      <c r="B268" s="2">
        <v>46072</v>
      </c>
      <c r="C268">
        <v>2026</v>
      </c>
      <c r="D268" t="s">
        <v>284</v>
      </c>
      <c r="E268" t="s">
        <v>312</v>
      </c>
      <c r="F268" t="s">
        <v>424</v>
      </c>
      <c r="G268" t="s">
        <v>425</v>
      </c>
      <c r="H268" t="s">
        <v>41</v>
      </c>
      <c r="I268" t="s">
        <v>52</v>
      </c>
      <c r="J268">
        <v>19</v>
      </c>
      <c r="K268">
        <v>399.66</v>
      </c>
      <c r="L268">
        <v>4928.01</v>
      </c>
      <c r="M268">
        <f>Table1[[#This Row],[Quantity Sold]]*Table1[[#This Row],[Unit Price]]</f>
        <v>7593.5400000000009</v>
      </c>
      <c r="N268">
        <f>Table1[[#This Row],[Sales Amount]]-Table1[[#This Row],[Cost Amount]]</f>
        <v>2665.5300000000007</v>
      </c>
      <c r="O268" t="str">
        <f>"Q"&amp;ROUNDUP(MONTH(Table1[[#This Row],[Order Date]])/3,0)</f>
        <v>Q1</v>
      </c>
      <c r="P268" t="str">
        <f>TEXT(Table1[[#This Row],[Order Date]],"MMM")</f>
        <v>Feb</v>
      </c>
      <c r="Q268">
        <f>MONTH(Table1[[#This Row],[Order Date]])</f>
        <v>2</v>
      </c>
    </row>
    <row r="269" spans="1:17" x14ac:dyDescent="0.25">
      <c r="A269" t="s">
        <v>646</v>
      </c>
      <c r="B269" s="2">
        <v>46149</v>
      </c>
      <c r="C269">
        <v>2026</v>
      </c>
      <c r="D269" t="s">
        <v>118</v>
      </c>
      <c r="E269" t="s">
        <v>622</v>
      </c>
      <c r="F269" t="s">
        <v>317</v>
      </c>
      <c r="G269" t="s">
        <v>318</v>
      </c>
      <c r="H269" t="s">
        <v>22</v>
      </c>
      <c r="I269" t="s">
        <v>42</v>
      </c>
      <c r="J269">
        <v>14</v>
      </c>
      <c r="K269">
        <v>280.11</v>
      </c>
      <c r="L269">
        <v>2820.56</v>
      </c>
      <c r="M269">
        <f>Table1[[#This Row],[Quantity Sold]]*Table1[[#This Row],[Unit Price]]</f>
        <v>3921.54</v>
      </c>
      <c r="N269">
        <f>Table1[[#This Row],[Sales Amount]]-Table1[[#This Row],[Cost Amount]]</f>
        <v>1100.98</v>
      </c>
      <c r="O269" t="str">
        <f>"Q"&amp;ROUNDUP(MONTH(Table1[[#This Row],[Order Date]])/3,0)</f>
        <v>Q2</v>
      </c>
      <c r="P269" t="str">
        <f>TEXT(Table1[[#This Row],[Order Date]],"MMM")</f>
        <v>May</v>
      </c>
      <c r="Q269">
        <f>MONTH(Table1[[#This Row],[Order Date]])</f>
        <v>5</v>
      </c>
    </row>
    <row r="270" spans="1:17" x14ac:dyDescent="0.25">
      <c r="A270" t="s">
        <v>647</v>
      </c>
      <c r="B270" s="2">
        <v>46187</v>
      </c>
      <c r="C270">
        <v>2026</v>
      </c>
      <c r="D270" t="s">
        <v>472</v>
      </c>
      <c r="E270" t="s">
        <v>312</v>
      </c>
      <c r="F270" t="s">
        <v>181</v>
      </c>
      <c r="G270" t="s">
        <v>182</v>
      </c>
      <c r="H270" t="s">
        <v>51</v>
      </c>
      <c r="I270" t="s">
        <v>52</v>
      </c>
      <c r="J270">
        <v>3</v>
      </c>
      <c r="K270">
        <v>435.35</v>
      </c>
      <c r="L270">
        <v>988.81</v>
      </c>
      <c r="M270">
        <f>Table1[[#This Row],[Quantity Sold]]*Table1[[#This Row],[Unit Price]]</f>
        <v>1306.0500000000002</v>
      </c>
      <c r="N270">
        <f>Table1[[#This Row],[Sales Amount]]-Table1[[#This Row],[Cost Amount]]</f>
        <v>317.24000000000024</v>
      </c>
      <c r="O270" t="str">
        <f>"Q"&amp;ROUNDUP(MONTH(Table1[[#This Row],[Order Date]])/3,0)</f>
        <v>Q2</v>
      </c>
      <c r="P270" t="str">
        <f>TEXT(Table1[[#This Row],[Order Date]],"MMM")</f>
        <v>Jun</v>
      </c>
      <c r="Q270">
        <f>MONTH(Table1[[#This Row],[Order Date]])</f>
        <v>6</v>
      </c>
    </row>
    <row r="271" spans="1:17" x14ac:dyDescent="0.25">
      <c r="A271" t="s">
        <v>648</v>
      </c>
      <c r="B271" s="2">
        <v>46126</v>
      </c>
      <c r="C271">
        <v>2026</v>
      </c>
      <c r="D271" t="s">
        <v>31</v>
      </c>
      <c r="E271" t="s">
        <v>649</v>
      </c>
      <c r="F271" t="s">
        <v>129</v>
      </c>
      <c r="G271" t="s">
        <v>130</v>
      </c>
      <c r="H271" t="s">
        <v>35</v>
      </c>
      <c r="I271" t="s">
        <v>52</v>
      </c>
      <c r="J271">
        <v>12</v>
      </c>
      <c r="K271">
        <v>249.41</v>
      </c>
      <c r="L271">
        <v>1882.08</v>
      </c>
      <c r="M271">
        <f>Table1[[#This Row],[Quantity Sold]]*Table1[[#This Row],[Unit Price]]</f>
        <v>2992.92</v>
      </c>
      <c r="N271">
        <f>Table1[[#This Row],[Sales Amount]]-Table1[[#This Row],[Cost Amount]]</f>
        <v>1110.8400000000001</v>
      </c>
      <c r="O271" t="str">
        <f>"Q"&amp;ROUNDUP(MONTH(Table1[[#This Row],[Order Date]])/3,0)</f>
        <v>Q2</v>
      </c>
      <c r="P271" t="str">
        <f>TEXT(Table1[[#This Row],[Order Date]],"MMM")</f>
        <v>Apr</v>
      </c>
      <c r="Q271">
        <f>MONTH(Table1[[#This Row],[Order Date]])</f>
        <v>4</v>
      </c>
    </row>
    <row r="272" spans="1:17" x14ac:dyDescent="0.25">
      <c r="A272" t="s">
        <v>650</v>
      </c>
      <c r="B272" s="2">
        <v>46260</v>
      </c>
      <c r="C272">
        <v>2026</v>
      </c>
      <c r="D272" t="s">
        <v>193</v>
      </c>
      <c r="E272" t="s">
        <v>133</v>
      </c>
      <c r="F272" t="s">
        <v>394</v>
      </c>
      <c r="G272" t="s">
        <v>395</v>
      </c>
      <c r="H272" t="s">
        <v>68</v>
      </c>
      <c r="I272" t="s">
        <v>42</v>
      </c>
      <c r="J272">
        <v>4</v>
      </c>
      <c r="K272">
        <v>309.83999999999997</v>
      </c>
      <c r="L272">
        <v>709.3</v>
      </c>
      <c r="M272">
        <f>Table1[[#This Row],[Quantity Sold]]*Table1[[#This Row],[Unit Price]]</f>
        <v>1239.3599999999999</v>
      </c>
      <c r="N272">
        <f>Table1[[#This Row],[Sales Amount]]-Table1[[#This Row],[Cost Amount]]</f>
        <v>530.05999999999995</v>
      </c>
      <c r="O272" t="str">
        <f>"Q"&amp;ROUNDUP(MONTH(Table1[[#This Row],[Order Date]])/3,0)</f>
        <v>Q3</v>
      </c>
      <c r="P272" t="str">
        <f>TEXT(Table1[[#This Row],[Order Date]],"MMM")</f>
        <v>Aug</v>
      </c>
      <c r="Q272">
        <f>MONTH(Table1[[#This Row],[Order Date]])</f>
        <v>8</v>
      </c>
    </row>
    <row r="273" spans="1:17" x14ac:dyDescent="0.25">
      <c r="A273" t="s">
        <v>651</v>
      </c>
      <c r="B273" s="2">
        <v>46030</v>
      </c>
      <c r="C273">
        <v>2026</v>
      </c>
      <c r="D273" t="s">
        <v>446</v>
      </c>
      <c r="E273" t="s">
        <v>652</v>
      </c>
      <c r="F273" t="s">
        <v>91</v>
      </c>
      <c r="G273" t="s">
        <v>92</v>
      </c>
      <c r="H273" t="s">
        <v>68</v>
      </c>
      <c r="I273" t="s">
        <v>29</v>
      </c>
      <c r="J273">
        <v>2</v>
      </c>
      <c r="K273">
        <v>187.75</v>
      </c>
      <c r="L273">
        <v>308.77</v>
      </c>
      <c r="M273">
        <f>Table1[[#This Row],[Quantity Sold]]*Table1[[#This Row],[Unit Price]]</f>
        <v>375.5</v>
      </c>
      <c r="N273">
        <f>Table1[[#This Row],[Sales Amount]]-Table1[[#This Row],[Cost Amount]]</f>
        <v>66.730000000000018</v>
      </c>
      <c r="O273" t="str">
        <f>"Q"&amp;ROUNDUP(MONTH(Table1[[#This Row],[Order Date]])/3,0)</f>
        <v>Q1</v>
      </c>
      <c r="P273" t="str">
        <f>TEXT(Table1[[#This Row],[Order Date]],"MMM")</f>
        <v>Jan</v>
      </c>
      <c r="Q273">
        <f>MONTH(Table1[[#This Row],[Order Date]])</f>
        <v>1</v>
      </c>
    </row>
    <row r="274" spans="1:17" x14ac:dyDescent="0.25">
      <c r="A274" t="s">
        <v>653</v>
      </c>
      <c r="B274" s="2">
        <v>46264</v>
      </c>
      <c r="C274">
        <v>2026</v>
      </c>
      <c r="D274" t="s">
        <v>44</v>
      </c>
      <c r="E274" t="s">
        <v>212</v>
      </c>
      <c r="F274" t="s">
        <v>215</v>
      </c>
      <c r="G274" t="s">
        <v>216</v>
      </c>
      <c r="H274" t="s">
        <v>51</v>
      </c>
      <c r="I274" t="s">
        <v>42</v>
      </c>
      <c r="J274">
        <v>6</v>
      </c>
      <c r="K274">
        <v>253.73</v>
      </c>
      <c r="L274">
        <v>853.37</v>
      </c>
      <c r="M274">
        <f>Table1[[#This Row],[Quantity Sold]]*Table1[[#This Row],[Unit Price]]</f>
        <v>1522.3799999999999</v>
      </c>
      <c r="N274">
        <f>Table1[[#This Row],[Sales Amount]]-Table1[[#This Row],[Cost Amount]]</f>
        <v>669.00999999999988</v>
      </c>
      <c r="O274" t="str">
        <f>"Q"&amp;ROUNDUP(MONTH(Table1[[#This Row],[Order Date]])/3,0)</f>
        <v>Q3</v>
      </c>
      <c r="P274" t="str">
        <f>TEXT(Table1[[#This Row],[Order Date]],"MMM")</f>
        <v>Aug</v>
      </c>
      <c r="Q274">
        <f>MONTH(Table1[[#This Row],[Order Date]])</f>
        <v>8</v>
      </c>
    </row>
    <row r="275" spans="1:17" x14ac:dyDescent="0.25">
      <c r="A275" t="s">
        <v>654</v>
      </c>
      <c r="B275" s="2">
        <v>46327</v>
      </c>
      <c r="C275">
        <v>2026</v>
      </c>
      <c r="D275" t="s">
        <v>37</v>
      </c>
      <c r="E275" t="s">
        <v>38</v>
      </c>
      <c r="F275" t="s">
        <v>218</v>
      </c>
      <c r="G275" t="s">
        <v>219</v>
      </c>
      <c r="H275" t="s">
        <v>220</v>
      </c>
      <c r="I275" t="s">
        <v>52</v>
      </c>
      <c r="J275">
        <v>12</v>
      </c>
      <c r="K275">
        <v>220.09</v>
      </c>
      <c r="L275">
        <v>2096.9499999999998</v>
      </c>
      <c r="M275">
        <f>Table1[[#This Row],[Quantity Sold]]*Table1[[#This Row],[Unit Price]]</f>
        <v>2641.08</v>
      </c>
      <c r="N275">
        <f>Table1[[#This Row],[Sales Amount]]-Table1[[#This Row],[Cost Amount]]</f>
        <v>544.13000000000011</v>
      </c>
      <c r="O275" t="str">
        <f>"Q"&amp;ROUNDUP(MONTH(Table1[[#This Row],[Order Date]])/3,0)</f>
        <v>Q4</v>
      </c>
      <c r="P275" t="str">
        <f>TEXT(Table1[[#This Row],[Order Date]],"MMM")</f>
        <v>Nov</v>
      </c>
      <c r="Q275">
        <f>MONTH(Table1[[#This Row],[Order Date]])</f>
        <v>11</v>
      </c>
    </row>
    <row r="276" spans="1:17" x14ac:dyDescent="0.25">
      <c r="A276" t="s">
        <v>655</v>
      </c>
      <c r="B276" s="2">
        <v>46379</v>
      </c>
      <c r="C276">
        <v>2026</v>
      </c>
      <c r="D276" t="s">
        <v>25</v>
      </c>
      <c r="E276" t="s">
        <v>419</v>
      </c>
      <c r="F276" t="s">
        <v>134</v>
      </c>
      <c r="G276" t="s">
        <v>135</v>
      </c>
      <c r="H276" t="s">
        <v>22</v>
      </c>
      <c r="I276" t="s">
        <v>23</v>
      </c>
      <c r="J276">
        <v>17</v>
      </c>
      <c r="K276">
        <v>113.1</v>
      </c>
      <c r="L276">
        <v>1170.98</v>
      </c>
      <c r="M276">
        <f>Table1[[#This Row],[Quantity Sold]]*Table1[[#This Row],[Unit Price]]</f>
        <v>1922.6999999999998</v>
      </c>
      <c r="N276">
        <f>Table1[[#This Row],[Sales Amount]]-Table1[[#This Row],[Cost Amount]]</f>
        <v>751.7199999999998</v>
      </c>
      <c r="O276" t="str">
        <f>"Q"&amp;ROUNDUP(MONTH(Table1[[#This Row],[Order Date]])/3,0)</f>
        <v>Q4</v>
      </c>
      <c r="P276" t="str">
        <f>TEXT(Table1[[#This Row],[Order Date]],"MMM")</f>
        <v>Dec</v>
      </c>
      <c r="Q276">
        <f>MONTH(Table1[[#This Row],[Order Date]])</f>
        <v>12</v>
      </c>
    </row>
    <row r="277" spans="1:17" x14ac:dyDescent="0.25">
      <c r="A277" t="s">
        <v>656</v>
      </c>
      <c r="B277" s="2">
        <v>46378</v>
      </c>
      <c r="C277">
        <v>2026</v>
      </c>
      <c r="D277" t="s">
        <v>184</v>
      </c>
      <c r="E277" t="s">
        <v>512</v>
      </c>
      <c r="F277" t="s">
        <v>91</v>
      </c>
      <c r="G277" t="s">
        <v>92</v>
      </c>
      <c r="H277" t="s">
        <v>68</v>
      </c>
      <c r="I277" t="s">
        <v>23</v>
      </c>
      <c r="J277">
        <v>17</v>
      </c>
      <c r="K277">
        <v>90.2</v>
      </c>
      <c r="L277">
        <v>1114.5899999999999</v>
      </c>
      <c r="M277">
        <f>Table1[[#This Row],[Quantity Sold]]*Table1[[#This Row],[Unit Price]]</f>
        <v>1533.4</v>
      </c>
      <c r="N277">
        <f>Table1[[#This Row],[Sales Amount]]-Table1[[#This Row],[Cost Amount]]</f>
        <v>418.81000000000017</v>
      </c>
      <c r="O277" t="str">
        <f>"Q"&amp;ROUNDUP(MONTH(Table1[[#This Row],[Order Date]])/3,0)</f>
        <v>Q4</v>
      </c>
      <c r="P277" t="str">
        <f>TEXT(Table1[[#This Row],[Order Date]],"MMM")</f>
        <v>Dec</v>
      </c>
      <c r="Q277">
        <f>MONTH(Table1[[#This Row],[Order Date]])</f>
        <v>12</v>
      </c>
    </row>
    <row r="278" spans="1:17" x14ac:dyDescent="0.25">
      <c r="A278" t="s">
        <v>657</v>
      </c>
      <c r="B278" s="2">
        <v>46083</v>
      </c>
      <c r="C278">
        <v>2026</v>
      </c>
      <c r="D278" t="s">
        <v>59</v>
      </c>
      <c r="E278" t="s">
        <v>457</v>
      </c>
      <c r="F278" t="s">
        <v>190</v>
      </c>
      <c r="G278" t="s">
        <v>191</v>
      </c>
      <c r="H278" t="s">
        <v>35</v>
      </c>
      <c r="I278" t="s">
        <v>23</v>
      </c>
      <c r="J278">
        <v>20</v>
      </c>
      <c r="K278">
        <v>255.26</v>
      </c>
      <c r="L278">
        <v>3099.87</v>
      </c>
      <c r="M278">
        <f>Table1[[#This Row],[Quantity Sold]]*Table1[[#This Row],[Unit Price]]</f>
        <v>5105.2</v>
      </c>
      <c r="N278">
        <f>Table1[[#This Row],[Sales Amount]]-Table1[[#This Row],[Cost Amount]]</f>
        <v>2005.33</v>
      </c>
      <c r="O278" t="str">
        <f>"Q"&amp;ROUNDUP(MONTH(Table1[[#This Row],[Order Date]])/3,0)</f>
        <v>Q1</v>
      </c>
      <c r="P278" t="str">
        <f>TEXT(Table1[[#This Row],[Order Date]],"MMM")</f>
        <v>Mar</v>
      </c>
      <c r="Q278">
        <f>MONTH(Table1[[#This Row],[Order Date]])</f>
        <v>3</v>
      </c>
    </row>
    <row r="279" spans="1:17" x14ac:dyDescent="0.25">
      <c r="A279" t="s">
        <v>658</v>
      </c>
      <c r="B279" s="2">
        <v>46222</v>
      </c>
      <c r="C279">
        <v>2026</v>
      </c>
      <c r="D279" t="s">
        <v>541</v>
      </c>
      <c r="E279" t="s">
        <v>266</v>
      </c>
      <c r="F279" t="s">
        <v>169</v>
      </c>
      <c r="G279" t="s">
        <v>170</v>
      </c>
      <c r="H279" t="s">
        <v>22</v>
      </c>
      <c r="I279" t="s">
        <v>52</v>
      </c>
      <c r="J279">
        <v>18</v>
      </c>
      <c r="K279">
        <v>245.96</v>
      </c>
      <c r="L279">
        <v>2545.2199999999998</v>
      </c>
      <c r="M279">
        <f>Table1[[#This Row],[Quantity Sold]]*Table1[[#This Row],[Unit Price]]</f>
        <v>4427.28</v>
      </c>
      <c r="N279">
        <f>Table1[[#This Row],[Sales Amount]]-Table1[[#This Row],[Cost Amount]]</f>
        <v>1882.06</v>
      </c>
      <c r="O279" t="str">
        <f>"Q"&amp;ROUNDUP(MONTH(Table1[[#This Row],[Order Date]])/3,0)</f>
        <v>Q3</v>
      </c>
      <c r="P279" t="str">
        <f>TEXT(Table1[[#This Row],[Order Date]],"MMM")</f>
        <v>Jul</v>
      </c>
      <c r="Q279">
        <f>MONTH(Table1[[#This Row],[Order Date]])</f>
        <v>7</v>
      </c>
    </row>
    <row r="280" spans="1:17" x14ac:dyDescent="0.25">
      <c r="A280" t="s">
        <v>659</v>
      </c>
      <c r="B280" s="2">
        <v>46341</v>
      </c>
      <c r="C280">
        <v>2026</v>
      </c>
      <c r="D280" t="s">
        <v>660</v>
      </c>
      <c r="E280" t="s">
        <v>661</v>
      </c>
      <c r="F280" t="s">
        <v>241</v>
      </c>
      <c r="G280" t="s">
        <v>242</v>
      </c>
      <c r="H280" t="s">
        <v>35</v>
      </c>
      <c r="I280" t="s">
        <v>29</v>
      </c>
      <c r="J280">
        <v>7</v>
      </c>
      <c r="K280">
        <v>122.15</v>
      </c>
      <c r="L280">
        <v>589.66999999999996</v>
      </c>
      <c r="M280">
        <f>Table1[[#This Row],[Quantity Sold]]*Table1[[#This Row],[Unit Price]]</f>
        <v>855.05000000000007</v>
      </c>
      <c r="N280">
        <f>Table1[[#This Row],[Sales Amount]]-Table1[[#This Row],[Cost Amount]]</f>
        <v>265.38000000000011</v>
      </c>
      <c r="O280" t="str">
        <f>"Q"&amp;ROUNDUP(MONTH(Table1[[#This Row],[Order Date]])/3,0)</f>
        <v>Q4</v>
      </c>
      <c r="P280" t="str">
        <f>TEXT(Table1[[#This Row],[Order Date]],"MMM")</f>
        <v>Nov</v>
      </c>
      <c r="Q280">
        <f>MONTH(Table1[[#This Row],[Order Date]])</f>
        <v>11</v>
      </c>
    </row>
    <row r="281" spans="1:17" x14ac:dyDescent="0.25">
      <c r="A281" t="s">
        <v>662</v>
      </c>
      <c r="B281" s="2">
        <v>46378</v>
      </c>
      <c r="C281">
        <v>2026</v>
      </c>
      <c r="D281" t="s">
        <v>660</v>
      </c>
      <c r="E281" t="s">
        <v>663</v>
      </c>
      <c r="F281" t="s">
        <v>440</v>
      </c>
      <c r="G281" t="s">
        <v>441</v>
      </c>
      <c r="H281" t="s">
        <v>97</v>
      </c>
      <c r="I281" t="s">
        <v>52</v>
      </c>
      <c r="J281">
        <v>9</v>
      </c>
      <c r="K281">
        <v>85.13</v>
      </c>
      <c r="L281">
        <v>528.9</v>
      </c>
      <c r="M281">
        <f>Table1[[#This Row],[Quantity Sold]]*Table1[[#This Row],[Unit Price]]</f>
        <v>766.17</v>
      </c>
      <c r="N281">
        <f>Table1[[#This Row],[Sales Amount]]-Table1[[#This Row],[Cost Amount]]</f>
        <v>237.26999999999998</v>
      </c>
      <c r="O281" t="str">
        <f>"Q"&amp;ROUNDUP(MONTH(Table1[[#This Row],[Order Date]])/3,0)</f>
        <v>Q4</v>
      </c>
      <c r="P281" t="str">
        <f>TEXT(Table1[[#This Row],[Order Date]],"MMM")</f>
        <v>Dec</v>
      </c>
      <c r="Q281">
        <f>MONTH(Table1[[#This Row],[Order Date]])</f>
        <v>12</v>
      </c>
    </row>
    <row r="282" spans="1:17" x14ac:dyDescent="0.25">
      <c r="A282" t="s">
        <v>664</v>
      </c>
      <c r="B282" s="2">
        <v>46357</v>
      </c>
      <c r="C282">
        <v>2026</v>
      </c>
      <c r="D282" t="s">
        <v>281</v>
      </c>
      <c r="E282" t="s">
        <v>665</v>
      </c>
      <c r="F282" t="s">
        <v>163</v>
      </c>
      <c r="G282" t="s">
        <v>164</v>
      </c>
      <c r="H282" t="s">
        <v>68</v>
      </c>
      <c r="I282" t="s">
        <v>42</v>
      </c>
      <c r="J282">
        <v>8</v>
      </c>
      <c r="K282">
        <v>428.91</v>
      </c>
      <c r="L282">
        <v>2342.89</v>
      </c>
      <c r="M282">
        <f>Table1[[#This Row],[Quantity Sold]]*Table1[[#This Row],[Unit Price]]</f>
        <v>3431.28</v>
      </c>
      <c r="N282">
        <f>Table1[[#This Row],[Sales Amount]]-Table1[[#This Row],[Cost Amount]]</f>
        <v>1088.3900000000003</v>
      </c>
      <c r="O282" t="str">
        <f>"Q"&amp;ROUNDUP(MONTH(Table1[[#This Row],[Order Date]])/3,0)</f>
        <v>Q4</v>
      </c>
      <c r="P282" t="str">
        <f>TEXT(Table1[[#This Row],[Order Date]],"MMM")</f>
        <v>Dec</v>
      </c>
      <c r="Q282">
        <f>MONTH(Table1[[#This Row],[Order Date]])</f>
        <v>12</v>
      </c>
    </row>
    <row r="283" spans="1:17" x14ac:dyDescent="0.25">
      <c r="A283" t="s">
        <v>666</v>
      </c>
      <c r="B283" s="2">
        <v>46356</v>
      </c>
      <c r="C283">
        <v>2026</v>
      </c>
      <c r="D283" t="s">
        <v>346</v>
      </c>
      <c r="E283" t="s">
        <v>119</v>
      </c>
      <c r="F283" t="s">
        <v>72</v>
      </c>
      <c r="G283" t="s">
        <v>73</v>
      </c>
      <c r="H283" t="s">
        <v>41</v>
      </c>
      <c r="I283" t="s">
        <v>29</v>
      </c>
      <c r="J283">
        <v>10</v>
      </c>
      <c r="K283">
        <v>430.8</v>
      </c>
      <c r="L283">
        <v>2733.52</v>
      </c>
      <c r="M283">
        <f>Table1[[#This Row],[Quantity Sold]]*Table1[[#This Row],[Unit Price]]</f>
        <v>4308</v>
      </c>
      <c r="N283">
        <f>Table1[[#This Row],[Sales Amount]]-Table1[[#This Row],[Cost Amount]]</f>
        <v>1574.48</v>
      </c>
      <c r="O283" t="str">
        <f>"Q"&amp;ROUNDUP(MONTH(Table1[[#This Row],[Order Date]])/3,0)</f>
        <v>Q4</v>
      </c>
      <c r="P283" t="str">
        <f>TEXT(Table1[[#This Row],[Order Date]],"MMM")</f>
        <v>Nov</v>
      </c>
      <c r="Q283">
        <f>MONTH(Table1[[#This Row],[Order Date]])</f>
        <v>11</v>
      </c>
    </row>
    <row r="284" spans="1:17" x14ac:dyDescent="0.25">
      <c r="A284" t="s">
        <v>667</v>
      </c>
      <c r="B284" s="2">
        <v>46197</v>
      </c>
      <c r="C284">
        <v>2026</v>
      </c>
      <c r="D284" t="s">
        <v>307</v>
      </c>
      <c r="E284" t="s">
        <v>668</v>
      </c>
      <c r="F284" t="s">
        <v>293</v>
      </c>
      <c r="G284" t="s">
        <v>294</v>
      </c>
      <c r="H284" t="s">
        <v>68</v>
      </c>
      <c r="I284" t="s">
        <v>29</v>
      </c>
      <c r="J284">
        <v>5</v>
      </c>
      <c r="K284">
        <v>141.44</v>
      </c>
      <c r="L284">
        <v>389.5</v>
      </c>
      <c r="M284">
        <f>Table1[[#This Row],[Quantity Sold]]*Table1[[#This Row],[Unit Price]]</f>
        <v>707.2</v>
      </c>
      <c r="N284">
        <f>Table1[[#This Row],[Sales Amount]]-Table1[[#This Row],[Cost Amount]]</f>
        <v>317.70000000000005</v>
      </c>
      <c r="O284" t="str">
        <f>"Q"&amp;ROUNDUP(MONTH(Table1[[#This Row],[Order Date]])/3,0)</f>
        <v>Q2</v>
      </c>
      <c r="P284" t="str">
        <f>TEXT(Table1[[#This Row],[Order Date]],"MMM")</f>
        <v>Jun</v>
      </c>
      <c r="Q284">
        <f>MONTH(Table1[[#This Row],[Order Date]])</f>
        <v>6</v>
      </c>
    </row>
    <row r="285" spans="1:17" x14ac:dyDescent="0.25">
      <c r="A285" t="s">
        <v>669</v>
      </c>
      <c r="B285" s="2">
        <v>46387</v>
      </c>
      <c r="C285">
        <v>2026</v>
      </c>
      <c r="D285" t="s">
        <v>291</v>
      </c>
      <c r="E285" t="s">
        <v>198</v>
      </c>
      <c r="F285" t="s">
        <v>313</v>
      </c>
      <c r="G285" t="s">
        <v>314</v>
      </c>
      <c r="H285" t="s">
        <v>68</v>
      </c>
      <c r="I285" t="s">
        <v>52</v>
      </c>
      <c r="J285">
        <v>3</v>
      </c>
      <c r="K285">
        <v>340.16</v>
      </c>
      <c r="L285">
        <v>751.38</v>
      </c>
      <c r="M285">
        <f>Table1[[#This Row],[Quantity Sold]]*Table1[[#This Row],[Unit Price]]</f>
        <v>1020.48</v>
      </c>
      <c r="N285">
        <f>Table1[[#This Row],[Sales Amount]]-Table1[[#This Row],[Cost Amount]]</f>
        <v>269.10000000000002</v>
      </c>
      <c r="O285" t="str">
        <f>"Q"&amp;ROUNDUP(MONTH(Table1[[#This Row],[Order Date]])/3,0)</f>
        <v>Q4</v>
      </c>
      <c r="P285" t="str">
        <f>TEXT(Table1[[#This Row],[Order Date]],"MMM")</f>
        <v>Dec</v>
      </c>
      <c r="Q285">
        <f>MONTH(Table1[[#This Row],[Order Date]])</f>
        <v>12</v>
      </c>
    </row>
    <row r="286" spans="1:17" x14ac:dyDescent="0.25">
      <c r="A286" t="s">
        <v>670</v>
      </c>
      <c r="B286" s="2">
        <v>46160</v>
      </c>
      <c r="C286">
        <v>2026</v>
      </c>
      <c r="D286" t="s">
        <v>239</v>
      </c>
      <c r="E286" t="s">
        <v>671</v>
      </c>
      <c r="F286" t="s">
        <v>278</v>
      </c>
      <c r="G286" t="s">
        <v>279</v>
      </c>
      <c r="H286" t="s">
        <v>220</v>
      </c>
      <c r="I286" t="s">
        <v>52</v>
      </c>
      <c r="J286">
        <v>16</v>
      </c>
      <c r="K286">
        <v>466.31</v>
      </c>
      <c r="L286">
        <v>4242.78</v>
      </c>
      <c r="M286">
        <f>Table1[[#This Row],[Quantity Sold]]*Table1[[#This Row],[Unit Price]]</f>
        <v>7460.96</v>
      </c>
      <c r="N286">
        <f>Table1[[#This Row],[Sales Amount]]-Table1[[#This Row],[Cost Amount]]</f>
        <v>3218.1800000000003</v>
      </c>
      <c r="O286" t="str">
        <f>"Q"&amp;ROUNDUP(MONTH(Table1[[#This Row],[Order Date]])/3,0)</f>
        <v>Q2</v>
      </c>
      <c r="P286" t="str">
        <f>TEXT(Table1[[#This Row],[Order Date]],"MMM")</f>
        <v>May</v>
      </c>
      <c r="Q286">
        <f>MONTH(Table1[[#This Row],[Order Date]])</f>
        <v>5</v>
      </c>
    </row>
    <row r="287" spans="1:17" x14ac:dyDescent="0.25">
      <c r="A287" t="s">
        <v>672</v>
      </c>
      <c r="B287" s="2">
        <v>46067</v>
      </c>
      <c r="C287">
        <v>2026</v>
      </c>
      <c r="D287" t="s">
        <v>362</v>
      </c>
      <c r="E287" t="s">
        <v>269</v>
      </c>
      <c r="F287" t="s">
        <v>154</v>
      </c>
      <c r="G287" t="s">
        <v>155</v>
      </c>
      <c r="H287" t="s">
        <v>68</v>
      </c>
      <c r="I287" t="s">
        <v>23</v>
      </c>
      <c r="J287">
        <v>8</v>
      </c>
      <c r="K287">
        <v>177.66</v>
      </c>
      <c r="L287">
        <v>771.7</v>
      </c>
      <c r="M287">
        <f>Table1[[#This Row],[Quantity Sold]]*Table1[[#This Row],[Unit Price]]</f>
        <v>1421.28</v>
      </c>
      <c r="N287">
        <f>Table1[[#This Row],[Sales Amount]]-Table1[[#This Row],[Cost Amount]]</f>
        <v>649.57999999999993</v>
      </c>
      <c r="O287" t="str">
        <f>"Q"&amp;ROUNDUP(MONTH(Table1[[#This Row],[Order Date]])/3,0)</f>
        <v>Q1</v>
      </c>
      <c r="P287" t="str">
        <f>TEXT(Table1[[#This Row],[Order Date]],"MMM")</f>
        <v>Feb</v>
      </c>
      <c r="Q287">
        <f>MONTH(Table1[[#This Row],[Order Date]])</f>
        <v>2</v>
      </c>
    </row>
    <row r="288" spans="1:17" x14ac:dyDescent="0.25">
      <c r="A288" t="s">
        <v>673</v>
      </c>
      <c r="B288" s="2">
        <v>46282</v>
      </c>
      <c r="C288">
        <v>2026</v>
      </c>
      <c r="D288" t="s">
        <v>637</v>
      </c>
      <c r="E288" t="s">
        <v>297</v>
      </c>
      <c r="F288" t="s">
        <v>181</v>
      </c>
      <c r="G288" t="s">
        <v>182</v>
      </c>
      <c r="H288" t="s">
        <v>51</v>
      </c>
      <c r="I288" t="s">
        <v>23</v>
      </c>
      <c r="J288">
        <v>12</v>
      </c>
      <c r="K288">
        <v>302.52999999999997</v>
      </c>
      <c r="L288">
        <v>2714.93</v>
      </c>
      <c r="M288">
        <f>Table1[[#This Row],[Quantity Sold]]*Table1[[#This Row],[Unit Price]]</f>
        <v>3630.3599999999997</v>
      </c>
      <c r="N288">
        <f>Table1[[#This Row],[Sales Amount]]-Table1[[#This Row],[Cost Amount]]</f>
        <v>915.42999999999984</v>
      </c>
      <c r="O288" t="str">
        <f>"Q"&amp;ROUNDUP(MONTH(Table1[[#This Row],[Order Date]])/3,0)</f>
        <v>Q3</v>
      </c>
      <c r="P288" t="str">
        <f>TEXT(Table1[[#This Row],[Order Date]],"MMM")</f>
        <v>Sep</v>
      </c>
      <c r="Q288">
        <f>MONTH(Table1[[#This Row],[Order Date]])</f>
        <v>9</v>
      </c>
    </row>
    <row r="289" spans="1:17" x14ac:dyDescent="0.25">
      <c r="A289" t="s">
        <v>674</v>
      </c>
      <c r="B289" s="2">
        <v>46096</v>
      </c>
      <c r="C289">
        <v>2026</v>
      </c>
      <c r="D289" t="s">
        <v>552</v>
      </c>
      <c r="E289" t="s">
        <v>550</v>
      </c>
      <c r="F289" t="s">
        <v>139</v>
      </c>
      <c r="G289" t="s">
        <v>140</v>
      </c>
      <c r="H289" t="s">
        <v>22</v>
      </c>
      <c r="I289" t="s">
        <v>23</v>
      </c>
      <c r="J289">
        <v>18</v>
      </c>
      <c r="K289">
        <v>159.83000000000001</v>
      </c>
      <c r="L289">
        <v>2395.36</v>
      </c>
      <c r="M289">
        <f>Table1[[#This Row],[Quantity Sold]]*Table1[[#This Row],[Unit Price]]</f>
        <v>2876.94</v>
      </c>
      <c r="N289">
        <f>Table1[[#This Row],[Sales Amount]]-Table1[[#This Row],[Cost Amount]]</f>
        <v>481.57999999999993</v>
      </c>
      <c r="O289" t="str">
        <f>"Q"&amp;ROUNDUP(MONTH(Table1[[#This Row],[Order Date]])/3,0)</f>
        <v>Q1</v>
      </c>
      <c r="P289" t="str">
        <f>TEXT(Table1[[#This Row],[Order Date]],"MMM")</f>
        <v>Mar</v>
      </c>
      <c r="Q289">
        <f>MONTH(Table1[[#This Row],[Order Date]])</f>
        <v>3</v>
      </c>
    </row>
    <row r="290" spans="1:17" x14ac:dyDescent="0.25">
      <c r="A290" t="s">
        <v>675</v>
      </c>
      <c r="B290" s="2">
        <v>46338</v>
      </c>
      <c r="C290">
        <v>2026</v>
      </c>
      <c r="D290" t="s">
        <v>352</v>
      </c>
      <c r="E290" t="s">
        <v>622</v>
      </c>
      <c r="F290" t="s">
        <v>154</v>
      </c>
      <c r="G290" t="s">
        <v>155</v>
      </c>
      <c r="H290" t="s">
        <v>68</v>
      </c>
      <c r="I290" t="s">
        <v>29</v>
      </c>
      <c r="J290">
        <v>7</v>
      </c>
      <c r="K290">
        <v>413.69</v>
      </c>
      <c r="L290">
        <v>1970.34</v>
      </c>
      <c r="M290">
        <f>Table1[[#This Row],[Quantity Sold]]*Table1[[#This Row],[Unit Price]]</f>
        <v>2895.83</v>
      </c>
      <c r="N290">
        <f>Table1[[#This Row],[Sales Amount]]-Table1[[#This Row],[Cost Amount]]</f>
        <v>925.49</v>
      </c>
      <c r="O290" t="str">
        <f>"Q"&amp;ROUNDUP(MONTH(Table1[[#This Row],[Order Date]])/3,0)</f>
        <v>Q4</v>
      </c>
      <c r="P290" t="str">
        <f>TEXT(Table1[[#This Row],[Order Date]],"MMM")</f>
        <v>Nov</v>
      </c>
      <c r="Q290">
        <f>MONTH(Table1[[#This Row],[Order Date]])</f>
        <v>11</v>
      </c>
    </row>
    <row r="291" spans="1:17" x14ac:dyDescent="0.25">
      <c r="A291" t="s">
        <v>676</v>
      </c>
      <c r="B291" s="2">
        <v>46309</v>
      </c>
      <c r="C291">
        <v>2026</v>
      </c>
      <c r="D291" t="s">
        <v>362</v>
      </c>
      <c r="E291" t="s">
        <v>55</v>
      </c>
      <c r="F291" t="s">
        <v>317</v>
      </c>
      <c r="G291" t="s">
        <v>318</v>
      </c>
      <c r="H291" t="s">
        <v>22</v>
      </c>
      <c r="I291" t="s">
        <v>42</v>
      </c>
      <c r="J291">
        <v>20</v>
      </c>
      <c r="K291">
        <v>334.19</v>
      </c>
      <c r="L291">
        <v>3852.72</v>
      </c>
      <c r="M291">
        <f>Table1[[#This Row],[Quantity Sold]]*Table1[[#This Row],[Unit Price]]</f>
        <v>6683.8</v>
      </c>
      <c r="N291">
        <f>Table1[[#This Row],[Sales Amount]]-Table1[[#This Row],[Cost Amount]]</f>
        <v>2831.0800000000004</v>
      </c>
      <c r="O291" t="str">
        <f>"Q"&amp;ROUNDUP(MONTH(Table1[[#This Row],[Order Date]])/3,0)</f>
        <v>Q4</v>
      </c>
      <c r="P291" t="str">
        <f>TEXT(Table1[[#This Row],[Order Date]],"MMM")</f>
        <v>Oct</v>
      </c>
      <c r="Q291">
        <f>MONTH(Table1[[#This Row],[Order Date]])</f>
        <v>10</v>
      </c>
    </row>
    <row r="292" spans="1:17" x14ac:dyDescent="0.25">
      <c r="A292" t="s">
        <v>677</v>
      </c>
      <c r="B292" s="2">
        <v>46194</v>
      </c>
      <c r="C292">
        <v>2026</v>
      </c>
      <c r="D292" t="s">
        <v>142</v>
      </c>
      <c r="E292" t="s">
        <v>172</v>
      </c>
      <c r="F292" t="s">
        <v>215</v>
      </c>
      <c r="G292" t="s">
        <v>216</v>
      </c>
      <c r="H292" t="s">
        <v>51</v>
      </c>
      <c r="I292" t="s">
        <v>23</v>
      </c>
      <c r="J292">
        <v>3</v>
      </c>
      <c r="K292">
        <v>391.07</v>
      </c>
      <c r="L292">
        <v>934.36</v>
      </c>
      <c r="M292">
        <f>Table1[[#This Row],[Quantity Sold]]*Table1[[#This Row],[Unit Price]]</f>
        <v>1173.21</v>
      </c>
      <c r="N292">
        <f>Table1[[#This Row],[Sales Amount]]-Table1[[#This Row],[Cost Amount]]</f>
        <v>238.85000000000002</v>
      </c>
      <c r="O292" t="str">
        <f>"Q"&amp;ROUNDUP(MONTH(Table1[[#This Row],[Order Date]])/3,0)</f>
        <v>Q2</v>
      </c>
      <c r="P292" t="str">
        <f>TEXT(Table1[[#This Row],[Order Date]],"MMM")</f>
        <v>Jun</v>
      </c>
      <c r="Q292">
        <f>MONTH(Table1[[#This Row],[Order Date]])</f>
        <v>6</v>
      </c>
    </row>
    <row r="293" spans="1:17" x14ac:dyDescent="0.25">
      <c r="A293" t="s">
        <v>678</v>
      </c>
      <c r="B293" s="2">
        <v>46056</v>
      </c>
      <c r="C293">
        <v>2026</v>
      </c>
      <c r="D293" t="s">
        <v>291</v>
      </c>
      <c r="E293" t="s">
        <v>172</v>
      </c>
      <c r="F293" t="s">
        <v>33</v>
      </c>
      <c r="G293" t="s">
        <v>34</v>
      </c>
      <c r="H293" t="s">
        <v>35</v>
      </c>
      <c r="I293" t="s">
        <v>52</v>
      </c>
      <c r="J293">
        <v>19</v>
      </c>
      <c r="K293">
        <v>205.8</v>
      </c>
      <c r="L293">
        <v>2989.97</v>
      </c>
      <c r="M293">
        <f>Table1[[#This Row],[Quantity Sold]]*Table1[[#This Row],[Unit Price]]</f>
        <v>3910.2000000000003</v>
      </c>
      <c r="N293">
        <f>Table1[[#This Row],[Sales Amount]]-Table1[[#This Row],[Cost Amount]]</f>
        <v>920.23000000000047</v>
      </c>
      <c r="O293" t="str">
        <f>"Q"&amp;ROUNDUP(MONTH(Table1[[#This Row],[Order Date]])/3,0)</f>
        <v>Q1</v>
      </c>
      <c r="P293" t="str">
        <f>TEXT(Table1[[#This Row],[Order Date]],"MMM")</f>
        <v>Feb</v>
      </c>
      <c r="Q293">
        <f>MONTH(Table1[[#This Row],[Order Date]])</f>
        <v>2</v>
      </c>
    </row>
    <row r="294" spans="1:17" x14ac:dyDescent="0.25">
      <c r="A294" t="s">
        <v>679</v>
      </c>
      <c r="B294" s="2">
        <v>46055</v>
      </c>
      <c r="C294">
        <v>2026</v>
      </c>
      <c r="D294" t="s">
        <v>498</v>
      </c>
      <c r="E294" t="s">
        <v>228</v>
      </c>
      <c r="F294" t="s">
        <v>241</v>
      </c>
      <c r="G294" t="s">
        <v>242</v>
      </c>
      <c r="H294" t="s">
        <v>35</v>
      </c>
      <c r="I294" t="s">
        <v>52</v>
      </c>
      <c r="J294">
        <v>10</v>
      </c>
      <c r="K294">
        <v>369.11</v>
      </c>
      <c r="L294">
        <v>2725.92</v>
      </c>
      <c r="M294">
        <f>Table1[[#This Row],[Quantity Sold]]*Table1[[#This Row],[Unit Price]]</f>
        <v>3691.1000000000004</v>
      </c>
      <c r="N294">
        <f>Table1[[#This Row],[Sales Amount]]-Table1[[#This Row],[Cost Amount]]</f>
        <v>965.18000000000029</v>
      </c>
      <c r="O294" t="str">
        <f>"Q"&amp;ROUNDUP(MONTH(Table1[[#This Row],[Order Date]])/3,0)</f>
        <v>Q1</v>
      </c>
      <c r="P294" t="str">
        <f>TEXT(Table1[[#This Row],[Order Date]],"MMM")</f>
        <v>Feb</v>
      </c>
      <c r="Q294">
        <f>MONTH(Table1[[#This Row],[Order Date]])</f>
        <v>2</v>
      </c>
    </row>
    <row r="295" spans="1:17" x14ac:dyDescent="0.25">
      <c r="A295" t="s">
        <v>680</v>
      </c>
      <c r="B295" s="2">
        <v>46027</v>
      </c>
      <c r="C295">
        <v>2026</v>
      </c>
      <c r="D295" t="s">
        <v>681</v>
      </c>
      <c r="E295" t="s">
        <v>185</v>
      </c>
      <c r="F295" t="s">
        <v>323</v>
      </c>
      <c r="G295" t="s">
        <v>324</v>
      </c>
      <c r="H295" t="s">
        <v>68</v>
      </c>
      <c r="I295" t="s">
        <v>52</v>
      </c>
      <c r="J295">
        <v>19</v>
      </c>
      <c r="K295">
        <v>299.12</v>
      </c>
      <c r="L295">
        <v>3492.09</v>
      </c>
      <c r="M295">
        <f>Table1[[#This Row],[Quantity Sold]]*Table1[[#This Row],[Unit Price]]</f>
        <v>5683.28</v>
      </c>
      <c r="N295">
        <f>Table1[[#This Row],[Sales Amount]]-Table1[[#This Row],[Cost Amount]]</f>
        <v>2191.1899999999996</v>
      </c>
      <c r="O295" t="str">
        <f>"Q"&amp;ROUNDUP(MONTH(Table1[[#This Row],[Order Date]])/3,0)</f>
        <v>Q1</v>
      </c>
      <c r="P295" t="str">
        <f>TEXT(Table1[[#This Row],[Order Date]],"MMM")</f>
        <v>Jan</v>
      </c>
      <c r="Q295">
        <f>MONTH(Table1[[#This Row],[Order Date]])</f>
        <v>1</v>
      </c>
    </row>
    <row r="296" spans="1:17" x14ac:dyDescent="0.25">
      <c r="A296" t="s">
        <v>682</v>
      </c>
      <c r="B296" s="2">
        <v>46028</v>
      </c>
      <c r="C296">
        <v>2026</v>
      </c>
      <c r="D296" t="s">
        <v>99</v>
      </c>
      <c r="E296" t="s">
        <v>100</v>
      </c>
      <c r="F296" t="s">
        <v>163</v>
      </c>
      <c r="G296" t="s">
        <v>164</v>
      </c>
      <c r="H296" t="s">
        <v>68</v>
      </c>
      <c r="I296" t="s">
        <v>42</v>
      </c>
      <c r="J296">
        <v>7</v>
      </c>
      <c r="K296">
        <v>87.34</v>
      </c>
      <c r="L296">
        <v>471.19</v>
      </c>
      <c r="M296">
        <f>Table1[[#This Row],[Quantity Sold]]*Table1[[#This Row],[Unit Price]]</f>
        <v>611.38</v>
      </c>
      <c r="N296">
        <f>Table1[[#This Row],[Sales Amount]]-Table1[[#This Row],[Cost Amount]]</f>
        <v>140.19</v>
      </c>
      <c r="O296" t="str">
        <f>"Q"&amp;ROUNDUP(MONTH(Table1[[#This Row],[Order Date]])/3,0)</f>
        <v>Q1</v>
      </c>
      <c r="P296" t="str">
        <f>TEXT(Table1[[#This Row],[Order Date]],"MMM")</f>
        <v>Jan</v>
      </c>
      <c r="Q296">
        <f>MONTH(Table1[[#This Row],[Order Date]])</f>
        <v>1</v>
      </c>
    </row>
    <row r="297" spans="1:17" x14ac:dyDescent="0.25">
      <c r="A297" t="s">
        <v>683</v>
      </c>
      <c r="B297" s="2">
        <v>46278</v>
      </c>
      <c r="C297">
        <v>2026</v>
      </c>
      <c r="D297" t="s">
        <v>247</v>
      </c>
      <c r="E297" t="s">
        <v>380</v>
      </c>
      <c r="F297" t="s">
        <v>190</v>
      </c>
      <c r="G297" t="s">
        <v>191</v>
      </c>
      <c r="H297" t="s">
        <v>35</v>
      </c>
      <c r="I297" t="s">
        <v>29</v>
      </c>
      <c r="J297">
        <v>18</v>
      </c>
      <c r="K297">
        <v>370.66</v>
      </c>
      <c r="L297">
        <v>4797.7299999999996</v>
      </c>
      <c r="M297">
        <f>Table1[[#This Row],[Quantity Sold]]*Table1[[#This Row],[Unit Price]]</f>
        <v>6671.88</v>
      </c>
      <c r="N297">
        <f>Table1[[#This Row],[Sales Amount]]-Table1[[#This Row],[Cost Amount]]</f>
        <v>1874.1500000000005</v>
      </c>
      <c r="O297" t="str">
        <f>"Q"&amp;ROUNDUP(MONTH(Table1[[#This Row],[Order Date]])/3,0)</f>
        <v>Q3</v>
      </c>
      <c r="P297" t="str">
        <f>TEXT(Table1[[#This Row],[Order Date]],"MMM")</f>
        <v>Sep</v>
      </c>
      <c r="Q297">
        <f>MONTH(Table1[[#This Row],[Order Date]])</f>
        <v>9</v>
      </c>
    </row>
    <row r="298" spans="1:17" x14ac:dyDescent="0.25">
      <c r="A298" t="s">
        <v>684</v>
      </c>
      <c r="B298" s="2">
        <v>46144</v>
      </c>
      <c r="C298">
        <v>2026</v>
      </c>
      <c r="D298" t="s">
        <v>281</v>
      </c>
      <c r="E298" t="s">
        <v>90</v>
      </c>
      <c r="F298" t="s">
        <v>313</v>
      </c>
      <c r="G298" t="s">
        <v>314</v>
      </c>
      <c r="H298" t="s">
        <v>68</v>
      </c>
      <c r="I298" t="s">
        <v>42</v>
      </c>
      <c r="J298">
        <v>12</v>
      </c>
      <c r="K298">
        <v>418.73</v>
      </c>
      <c r="L298">
        <v>3148.06</v>
      </c>
      <c r="M298">
        <f>Table1[[#This Row],[Quantity Sold]]*Table1[[#This Row],[Unit Price]]</f>
        <v>5024.76</v>
      </c>
      <c r="N298">
        <f>Table1[[#This Row],[Sales Amount]]-Table1[[#This Row],[Cost Amount]]</f>
        <v>1876.7000000000003</v>
      </c>
      <c r="O298" t="str">
        <f>"Q"&amp;ROUNDUP(MONTH(Table1[[#This Row],[Order Date]])/3,0)</f>
        <v>Q2</v>
      </c>
      <c r="P298" t="str">
        <f>TEXT(Table1[[#This Row],[Order Date]],"MMM")</f>
        <v>May</v>
      </c>
      <c r="Q298">
        <f>MONTH(Table1[[#This Row],[Order Date]])</f>
        <v>5</v>
      </c>
    </row>
    <row r="299" spans="1:17" x14ac:dyDescent="0.25">
      <c r="A299" t="s">
        <v>685</v>
      </c>
      <c r="B299" s="2">
        <v>46362</v>
      </c>
      <c r="C299">
        <v>2026</v>
      </c>
      <c r="D299" t="s">
        <v>508</v>
      </c>
      <c r="E299" t="s">
        <v>435</v>
      </c>
      <c r="F299" t="s">
        <v>186</v>
      </c>
      <c r="G299" t="s">
        <v>187</v>
      </c>
      <c r="H299" t="s">
        <v>97</v>
      </c>
      <c r="I299" t="s">
        <v>29</v>
      </c>
      <c r="J299">
        <v>13</v>
      </c>
      <c r="K299">
        <v>457.43</v>
      </c>
      <c r="L299">
        <v>4314.84</v>
      </c>
      <c r="M299">
        <f>Table1[[#This Row],[Quantity Sold]]*Table1[[#This Row],[Unit Price]]</f>
        <v>5946.59</v>
      </c>
      <c r="N299">
        <f>Table1[[#This Row],[Sales Amount]]-Table1[[#This Row],[Cost Amount]]</f>
        <v>1631.75</v>
      </c>
      <c r="O299" t="str">
        <f>"Q"&amp;ROUNDUP(MONTH(Table1[[#This Row],[Order Date]])/3,0)</f>
        <v>Q4</v>
      </c>
      <c r="P299" t="str">
        <f>TEXT(Table1[[#This Row],[Order Date]],"MMM")</f>
        <v>Dec</v>
      </c>
      <c r="Q299">
        <f>MONTH(Table1[[#This Row],[Order Date]])</f>
        <v>12</v>
      </c>
    </row>
    <row r="300" spans="1:17" x14ac:dyDescent="0.25">
      <c r="A300" t="s">
        <v>686</v>
      </c>
      <c r="B300" s="2">
        <v>46039</v>
      </c>
      <c r="C300">
        <v>2026</v>
      </c>
      <c r="D300" t="s">
        <v>337</v>
      </c>
      <c r="E300" t="s">
        <v>687</v>
      </c>
      <c r="F300" t="s">
        <v>56</v>
      </c>
      <c r="G300" t="s">
        <v>57</v>
      </c>
      <c r="H300" t="s">
        <v>51</v>
      </c>
      <c r="I300" t="s">
        <v>42</v>
      </c>
      <c r="J300">
        <v>18</v>
      </c>
      <c r="K300">
        <v>382.03</v>
      </c>
      <c r="L300">
        <v>4363.03</v>
      </c>
      <c r="M300">
        <f>Table1[[#This Row],[Quantity Sold]]*Table1[[#This Row],[Unit Price]]</f>
        <v>6876.5399999999991</v>
      </c>
      <c r="N300">
        <f>Table1[[#This Row],[Sales Amount]]-Table1[[#This Row],[Cost Amount]]</f>
        <v>2513.5099999999993</v>
      </c>
      <c r="O300" t="str">
        <f>"Q"&amp;ROUNDUP(MONTH(Table1[[#This Row],[Order Date]])/3,0)</f>
        <v>Q1</v>
      </c>
      <c r="P300" t="str">
        <f>TEXT(Table1[[#This Row],[Order Date]],"MMM")</f>
        <v>Jan</v>
      </c>
      <c r="Q300">
        <f>MONTH(Table1[[#This Row],[Order Date]])</f>
        <v>1</v>
      </c>
    </row>
    <row r="301" spans="1:17" x14ac:dyDescent="0.25">
      <c r="A301" t="s">
        <v>688</v>
      </c>
      <c r="B301" s="2">
        <v>46202</v>
      </c>
      <c r="C301">
        <v>2026</v>
      </c>
      <c r="D301" t="s">
        <v>47</v>
      </c>
      <c r="E301" t="s">
        <v>82</v>
      </c>
      <c r="F301" t="s">
        <v>517</v>
      </c>
      <c r="G301" t="s">
        <v>518</v>
      </c>
      <c r="H301" t="s">
        <v>220</v>
      </c>
      <c r="I301" t="s">
        <v>23</v>
      </c>
      <c r="J301">
        <v>20</v>
      </c>
      <c r="K301">
        <v>320.75</v>
      </c>
      <c r="L301">
        <v>4451.79</v>
      </c>
      <c r="M301">
        <f>Table1[[#This Row],[Quantity Sold]]*Table1[[#This Row],[Unit Price]]</f>
        <v>6415</v>
      </c>
      <c r="N301">
        <f>Table1[[#This Row],[Sales Amount]]-Table1[[#This Row],[Cost Amount]]</f>
        <v>1963.21</v>
      </c>
      <c r="O301" t="str">
        <f>"Q"&amp;ROUNDUP(MONTH(Table1[[#This Row],[Order Date]])/3,0)</f>
        <v>Q2</v>
      </c>
      <c r="P301" t="str">
        <f>TEXT(Table1[[#This Row],[Order Date]],"MMM")</f>
        <v>Jun</v>
      </c>
      <c r="Q301">
        <f>MONTH(Table1[[#This Row],[Order Date]])</f>
        <v>6</v>
      </c>
    </row>
    <row r="302" spans="1:17" x14ac:dyDescent="0.25">
      <c r="A302" t="s">
        <v>689</v>
      </c>
      <c r="B302" s="2">
        <v>46040</v>
      </c>
      <c r="C302">
        <v>2026</v>
      </c>
      <c r="D302" t="s">
        <v>227</v>
      </c>
      <c r="E302" t="s">
        <v>690</v>
      </c>
      <c r="F302" t="s">
        <v>394</v>
      </c>
      <c r="G302" t="s">
        <v>395</v>
      </c>
      <c r="H302" t="s">
        <v>68</v>
      </c>
      <c r="I302" t="s">
        <v>42</v>
      </c>
      <c r="J302">
        <v>17</v>
      </c>
      <c r="K302">
        <v>136.94</v>
      </c>
      <c r="L302">
        <v>1848.14</v>
      </c>
      <c r="M302">
        <f>Table1[[#This Row],[Quantity Sold]]*Table1[[#This Row],[Unit Price]]</f>
        <v>2327.98</v>
      </c>
      <c r="N302">
        <f>Table1[[#This Row],[Sales Amount]]-Table1[[#This Row],[Cost Amount]]</f>
        <v>479.83999999999992</v>
      </c>
      <c r="O302" t="str">
        <f>"Q"&amp;ROUNDUP(MONTH(Table1[[#This Row],[Order Date]])/3,0)</f>
        <v>Q1</v>
      </c>
      <c r="P302" t="str">
        <f>TEXT(Table1[[#This Row],[Order Date]],"MMM")</f>
        <v>Jan</v>
      </c>
      <c r="Q302">
        <f>MONTH(Table1[[#This Row],[Order Date]])</f>
        <v>1</v>
      </c>
    </row>
    <row r="303" spans="1:17" x14ac:dyDescent="0.25">
      <c r="A303" t="s">
        <v>691</v>
      </c>
      <c r="B303" s="2">
        <v>46356</v>
      </c>
      <c r="C303">
        <v>2026</v>
      </c>
      <c r="D303" t="s">
        <v>379</v>
      </c>
      <c r="E303" t="s">
        <v>521</v>
      </c>
      <c r="F303" t="s">
        <v>78</v>
      </c>
      <c r="G303" t="s">
        <v>79</v>
      </c>
      <c r="H303" t="s">
        <v>22</v>
      </c>
      <c r="I303" t="s">
        <v>42</v>
      </c>
      <c r="J303">
        <v>4</v>
      </c>
      <c r="K303">
        <v>414.65</v>
      </c>
      <c r="L303">
        <v>1069.78</v>
      </c>
      <c r="M303">
        <f>Table1[[#This Row],[Quantity Sold]]*Table1[[#This Row],[Unit Price]]</f>
        <v>1658.6</v>
      </c>
      <c r="N303">
        <f>Table1[[#This Row],[Sales Amount]]-Table1[[#This Row],[Cost Amount]]</f>
        <v>588.81999999999994</v>
      </c>
      <c r="O303" t="str">
        <f>"Q"&amp;ROUNDUP(MONTH(Table1[[#This Row],[Order Date]])/3,0)</f>
        <v>Q4</v>
      </c>
      <c r="P303" t="str">
        <f>TEXT(Table1[[#This Row],[Order Date]],"MMM")</f>
        <v>Nov</v>
      </c>
      <c r="Q303">
        <f>MONTH(Table1[[#This Row],[Order Date]])</f>
        <v>11</v>
      </c>
    </row>
    <row r="304" spans="1:17" x14ac:dyDescent="0.25">
      <c r="A304" t="s">
        <v>692</v>
      </c>
      <c r="B304" s="2">
        <v>46383</v>
      </c>
      <c r="C304">
        <v>2026</v>
      </c>
      <c r="D304" t="s">
        <v>222</v>
      </c>
      <c r="E304" t="s">
        <v>100</v>
      </c>
      <c r="F304" t="s">
        <v>229</v>
      </c>
      <c r="G304" t="s">
        <v>230</v>
      </c>
      <c r="H304" t="s">
        <v>35</v>
      </c>
      <c r="I304" t="s">
        <v>29</v>
      </c>
      <c r="J304">
        <v>5</v>
      </c>
      <c r="K304">
        <v>456.79</v>
      </c>
      <c r="L304">
        <v>1831.54</v>
      </c>
      <c r="M304">
        <f>Table1[[#This Row],[Quantity Sold]]*Table1[[#This Row],[Unit Price]]</f>
        <v>2283.9500000000003</v>
      </c>
      <c r="N304">
        <f>Table1[[#This Row],[Sales Amount]]-Table1[[#This Row],[Cost Amount]]</f>
        <v>452.41000000000031</v>
      </c>
      <c r="O304" t="str">
        <f>"Q"&amp;ROUNDUP(MONTH(Table1[[#This Row],[Order Date]])/3,0)</f>
        <v>Q4</v>
      </c>
      <c r="P304" t="str">
        <f>TEXT(Table1[[#This Row],[Order Date]],"MMM")</f>
        <v>Dec</v>
      </c>
      <c r="Q304">
        <f>MONTH(Table1[[#This Row],[Order Date]])</f>
        <v>12</v>
      </c>
    </row>
    <row r="305" spans="1:17" x14ac:dyDescent="0.25">
      <c r="A305" t="s">
        <v>693</v>
      </c>
      <c r="B305" s="2">
        <v>46136</v>
      </c>
      <c r="C305">
        <v>2026</v>
      </c>
      <c r="D305" t="s">
        <v>247</v>
      </c>
      <c r="E305" t="s">
        <v>694</v>
      </c>
      <c r="F305" t="s">
        <v>241</v>
      </c>
      <c r="G305" t="s">
        <v>242</v>
      </c>
      <c r="H305" t="s">
        <v>35</v>
      </c>
      <c r="I305" t="s">
        <v>52</v>
      </c>
      <c r="J305">
        <v>6</v>
      </c>
      <c r="K305">
        <v>258.42</v>
      </c>
      <c r="L305">
        <v>854.97</v>
      </c>
      <c r="M305">
        <f>Table1[[#This Row],[Quantity Sold]]*Table1[[#This Row],[Unit Price]]</f>
        <v>1550.52</v>
      </c>
      <c r="N305">
        <f>Table1[[#This Row],[Sales Amount]]-Table1[[#This Row],[Cost Amount]]</f>
        <v>695.55</v>
      </c>
      <c r="O305" t="str">
        <f>"Q"&amp;ROUNDUP(MONTH(Table1[[#This Row],[Order Date]])/3,0)</f>
        <v>Q2</v>
      </c>
      <c r="P305" t="str">
        <f>TEXT(Table1[[#This Row],[Order Date]],"MMM")</f>
        <v>Apr</v>
      </c>
      <c r="Q305">
        <f>MONTH(Table1[[#This Row],[Order Date]])</f>
        <v>4</v>
      </c>
    </row>
    <row r="306" spans="1:17" x14ac:dyDescent="0.25">
      <c r="A306" t="s">
        <v>695</v>
      </c>
      <c r="B306" s="2">
        <v>46067</v>
      </c>
      <c r="C306">
        <v>2026</v>
      </c>
      <c r="D306" t="s">
        <v>427</v>
      </c>
      <c r="E306" t="s">
        <v>696</v>
      </c>
      <c r="F306" t="s">
        <v>190</v>
      </c>
      <c r="G306" t="s">
        <v>191</v>
      </c>
      <c r="H306" t="s">
        <v>35</v>
      </c>
      <c r="I306" t="s">
        <v>29</v>
      </c>
      <c r="J306">
        <v>4</v>
      </c>
      <c r="K306">
        <v>395.98</v>
      </c>
      <c r="L306">
        <v>1183.24</v>
      </c>
      <c r="M306">
        <f>Table1[[#This Row],[Quantity Sold]]*Table1[[#This Row],[Unit Price]]</f>
        <v>1583.92</v>
      </c>
      <c r="N306">
        <f>Table1[[#This Row],[Sales Amount]]-Table1[[#This Row],[Cost Amount]]</f>
        <v>400.68000000000006</v>
      </c>
      <c r="O306" t="str">
        <f>"Q"&amp;ROUNDUP(MONTH(Table1[[#This Row],[Order Date]])/3,0)</f>
        <v>Q1</v>
      </c>
      <c r="P306" t="str">
        <f>TEXT(Table1[[#This Row],[Order Date]],"MMM")</f>
        <v>Feb</v>
      </c>
      <c r="Q306">
        <f>MONTH(Table1[[#This Row],[Order Date]])</f>
        <v>2</v>
      </c>
    </row>
    <row r="307" spans="1:17" x14ac:dyDescent="0.25">
      <c r="A307" t="s">
        <v>697</v>
      </c>
      <c r="B307" s="2">
        <v>46248</v>
      </c>
      <c r="C307">
        <v>2026</v>
      </c>
      <c r="D307" t="s">
        <v>265</v>
      </c>
      <c r="E307" t="s">
        <v>189</v>
      </c>
      <c r="F307" t="s">
        <v>383</v>
      </c>
      <c r="G307" t="s">
        <v>384</v>
      </c>
      <c r="H307" t="s">
        <v>220</v>
      </c>
      <c r="I307" t="s">
        <v>42</v>
      </c>
      <c r="J307">
        <v>7</v>
      </c>
      <c r="K307">
        <v>71.67</v>
      </c>
      <c r="L307">
        <v>406.51</v>
      </c>
      <c r="M307">
        <f>Table1[[#This Row],[Quantity Sold]]*Table1[[#This Row],[Unit Price]]</f>
        <v>501.69</v>
      </c>
      <c r="N307">
        <f>Table1[[#This Row],[Sales Amount]]-Table1[[#This Row],[Cost Amount]]</f>
        <v>95.18</v>
      </c>
      <c r="O307" t="str">
        <f>"Q"&amp;ROUNDUP(MONTH(Table1[[#This Row],[Order Date]])/3,0)</f>
        <v>Q3</v>
      </c>
      <c r="P307" t="str">
        <f>TEXT(Table1[[#This Row],[Order Date]],"MMM")</f>
        <v>Aug</v>
      </c>
      <c r="Q307">
        <f>MONTH(Table1[[#This Row],[Order Date]])</f>
        <v>8</v>
      </c>
    </row>
    <row r="308" spans="1:17" x14ac:dyDescent="0.25">
      <c r="A308" t="s">
        <v>698</v>
      </c>
      <c r="B308" s="2">
        <v>46161</v>
      </c>
      <c r="C308">
        <v>2026</v>
      </c>
      <c r="D308" t="s">
        <v>222</v>
      </c>
      <c r="E308" t="s">
        <v>210</v>
      </c>
      <c r="F308" t="s">
        <v>424</v>
      </c>
      <c r="G308" t="s">
        <v>425</v>
      </c>
      <c r="H308" t="s">
        <v>41</v>
      </c>
      <c r="I308" t="s">
        <v>52</v>
      </c>
      <c r="J308">
        <v>5</v>
      </c>
      <c r="K308">
        <v>51.84</v>
      </c>
      <c r="L308">
        <v>162.15</v>
      </c>
      <c r="M308">
        <f>Table1[[#This Row],[Quantity Sold]]*Table1[[#This Row],[Unit Price]]</f>
        <v>259.20000000000005</v>
      </c>
      <c r="N308">
        <f>Table1[[#This Row],[Sales Amount]]-Table1[[#This Row],[Cost Amount]]</f>
        <v>97.05000000000004</v>
      </c>
      <c r="O308" t="str">
        <f>"Q"&amp;ROUNDUP(MONTH(Table1[[#This Row],[Order Date]])/3,0)</f>
        <v>Q2</v>
      </c>
      <c r="P308" t="str">
        <f>TEXT(Table1[[#This Row],[Order Date]],"MMM")</f>
        <v>May</v>
      </c>
      <c r="Q308">
        <f>MONTH(Table1[[#This Row],[Order Date]])</f>
        <v>5</v>
      </c>
    </row>
    <row r="309" spans="1:17" x14ac:dyDescent="0.25">
      <c r="A309" t="s">
        <v>699</v>
      </c>
      <c r="B309" s="2">
        <v>46210</v>
      </c>
      <c r="C309">
        <v>2026</v>
      </c>
      <c r="D309" t="s">
        <v>203</v>
      </c>
      <c r="E309" t="s">
        <v>700</v>
      </c>
      <c r="F309" t="s">
        <v>181</v>
      </c>
      <c r="G309" t="s">
        <v>182</v>
      </c>
      <c r="H309" t="s">
        <v>51</v>
      </c>
      <c r="I309" t="s">
        <v>52</v>
      </c>
      <c r="J309">
        <v>7</v>
      </c>
      <c r="K309">
        <v>30.89</v>
      </c>
      <c r="L309">
        <v>143.11000000000001</v>
      </c>
      <c r="M309">
        <f>Table1[[#This Row],[Quantity Sold]]*Table1[[#This Row],[Unit Price]]</f>
        <v>216.23000000000002</v>
      </c>
      <c r="N309">
        <f>Table1[[#This Row],[Sales Amount]]-Table1[[#This Row],[Cost Amount]]</f>
        <v>73.12</v>
      </c>
      <c r="O309" t="str">
        <f>"Q"&amp;ROUNDUP(MONTH(Table1[[#This Row],[Order Date]])/3,0)</f>
        <v>Q3</v>
      </c>
      <c r="P309" t="str">
        <f>TEXT(Table1[[#This Row],[Order Date]],"MMM")</f>
        <v>Jul</v>
      </c>
      <c r="Q309">
        <f>MONTH(Table1[[#This Row],[Order Date]])</f>
        <v>7</v>
      </c>
    </row>
    <row r="310" spans="1:17" x14ac:dyDescent="0.25">
      <c r="A310" t="s">
        <v>701</v>
      </c>
      <c r="B310" s="2">
        <v>46116</v>
      </c>
      <c r="C310">
        <v>2026</v>
      </c>
      <c r="D310" t="s">
        <v>498</v>
      </c>
      <c r="E310" t="s">
        <v>388</v>
      </c>
      <c r="F310" t="s">
        <v>149</v>
      </c>
      <c r="G310" t="s">
        <v>150</v>
      </c>
      <c r="H310" t="s">
        <v>22</v>
      </c>
      <c r="I310" t="s">
        <v>29</v>
      </c>
      <c r="J310">
        <v>11</v>
      </c>
      <c r="K310">
        <v>451.43</v>
      </c>
      <c r="L310">
        <v>3179.85</v>
      </c>
      <c r="M310">
        <f>Table1[[#This Row],[Quantity Sold]]*Table1[[#This Row],[Unit Price]]</f>
        <v>4965.7300000000005</v>
      </c>
      <c r="N310">
        <f>Table1[[#This Row],[Sales Amount]]-Table1[[#This Row],[Cost Amount]]</f>
        <v>1785.8800000000006</v>
      </c>
      <c r="O310" t="str">
        <f>"Q"&amp;ROUNDUP(MONTH(Table1[[#This Row],[Order Date]])/3,0)</f>
        <v>Q2</v>
      </c>
      <c r="P310" t="str">
        <f>TEXT(Table1[[#This Row],[Order Date]],"MMM")</f>
        <v>Apr</v>
      </c>
      <c r="Q310">
        <f>MONTH(Table1[[#This Row],[Order Date]])</f>
        <v>4</v>
      </c>
    </row>
    <row r="311" spans="1:17" x14ac:dyDescent="0.25">
      <c r="A311" t="s">
        <v>702</v>
      </c>
      <c r="B311" s="2">
        <v>46058</v>
      </c>
      <c r="C311">
        <v>2026</v>
      </c>
      <c r="D311" t="s">
        <v>209</v>
      </c>
      <c r="E311" t="s">
        <v>300</v>
      </c>
      <c r="F311" t="s">
        <v>159</v>
      </c>
      <c r="G311" t="s">
        <v>160</v>
      </c>
      <c r="H311" t="s">
        <v>51</v>
      </c>
      <c r="I311" t="s">
        <v>29</v>
      </c>
      <c r="J311">
        <v>11</v>
      </c>
      <c r="K311">
        <v>201.22</v>
      </c>
      <c r="L311">
        <v>1682.68</v>
      </c>
      <c r="M311">
        <f>Table1[[#This Row],[Quantity Sold]]*Table1[[#This Row],[Unit Price]]</f>
        <v>2213.42</v>
      </c>
      <c r="N311">
        <f>Table1[[#This Row],[Sales Amount]]-Table1[[#This Row],[Cost Amount]]</f>
        <v>530.74</v>
      </c>
      <c r="O311" t="str">
        <f>"Q"&amp;ROUNDUP(MONTH(Table1[[#This Row],[Order Date]])/3,0)</f>
        <v>Q1</v>
      </c>
      <c r="P311" t="str">
        <f>TEXT(Table1[[#This Row],[Order Date]],"MMM")</f>
        <v>Feb</v>
      </c>
      <c r="Q311">
        <f>MONTH(Table1[[#This Row],[Order Date]])</f>
        <v>2</v>
      </c>
    </row>
    <row r="312" spans="1:17" x14ac:dyDescent="0.25">
      <c r="A312" t="s">
        <v>703</v>
      </c>
      <c r="B312" s="2">
        <v>46229</v>
      </c>
      <c r="C312">
        <v>2026</v>
      </c>
      <c r="D312" t="s">
        <v>333</v>
      </c>
      <c r="E312" t="s">
        <v>539</v>
      </c>
      <c r="F312" t="s">
        <v>149</v>
      </c>
      <c r="G312" t="s">
        <v>150</v>
      </c>
      <c r="H312" t="s">
        <v>22</v>
      </c>
      <c r="I312" t="s">
        <v>29</v>
      </c>
      <c r="J312">
        <v>2</v>
      </c>
      <c r="K312">
        <v>216</v>
      </c>
      <c r="L312">
        <v>240.41</v>
      </c>
      <c r="M312">
        <f>Table1[[#This Row],[Quantity Sold]]*Table1[[#This Row],[Unit Price]]</f>
        <v>432</v>
      </c>
      <c r="N312">
        <f>Table1[[#This Row],[Sales Amount]]-Table1[[#This Row],[Cost Amount]]</f>
        <v>191.59</v>
      </c>
      <c r="O312" t="str">
        <f>"Q"&amp;ROUNDUP(MONTH(Table1[[#This Row],[Order Date]])/3,0)</f>
        <v>Q3</v>
      </c>
      <c r="P312" t="str">
        <f>TEXT(Table1[[#This Row],[Order Date]],"MMM")</f>
        <v>Jul</v>
      </c>
      <c r="Q312">
        <f>MONTH(Table1[[#This Row],[Order Date]])</f>
        <v>7</v>
      </c>
    </row>
    <row r="313" spans="1:17" x14ac:dyDescent="0.25">
      <c r="A313" t="s">
        <v>704</v>
      </c>
      <c r="B313" s="2">
        <v>46227</v>
      </c>
      <c r="C313">
        <v>2026</v>
      </c>
      <c r="D313" t="s">
        <v>284</v>
      </c>
      <c r="E313" t="s">
        <v>363</v>
      </c>
      <c r="F313" t="s">
        <v>173</v>
      </c>
      <c r="G313" t="s">
        <v>174</v>
      </c>
      <c r="H313" t="s">
        <v>22</v>
      </c>
      <c r="I313" t="s">
        <v>42</v>
      </c>
      <c r="J313">
        <v>9</v>
      </c>
      <c r="K313">
        <v>424.67</v>
      </c>
      <c r="L313">
        <v>2260.39</v>
      </c>
      <c r="M313">
        <f>Table1[[#This Row],[Quantity Sold]]*Table1[[#This Row],[Unit Price]]</f>
        <v>3822.03</v>
      </c>
      <c r="N313">
        <f>Table1[[#This Row],[Sales Amount]]-Table1[[#This Row],[Cost Amount]]</f>
        <v>1561.6400000000003</v>
      </c>
      <c r="O313" t="str">
        <f>"Q"&amp;ROUNDUP(MONTH(Table1[[#This Row],[Order Date]])/3,0)</f>
        <v>Q3</v>
      </c>
      <c r="P313" t="str">
        <f>TEXT(Table1[[#This Row],[Order Date]],"MMM")</f>
        <v>Jul</v>
      </c>
      <c r="Q313">
        <f>MONTH(Table1[[#This Row],[Order Date]])</f>
        <v>7</v>
      </c>
    </row>
    <row r="314" spans="1:17" x14ac:dyDescent="0.25">
      <c r="A314" t="s">
        <v>705</v>
      </c>
      <c r="B314" s="2">
        <v>46212</v>
      </c>
      <c r="C314">
        <v>2026</v>
      </c>
      <c r="D314" t="s">
        <v>706</v>
      </c>
      <c r="E314" t="s">
        <v>544</v>
      </c>
      <c r="F314" t="s">
        <v>144</v>
      </c>
      <c r="G314" t="s">
        <v>145</v>
      </c>
      <c r="H314" t="s">
        <v>97</v>
      </c>
      <c r="I314" t="s">
        <v>42</v>
      </c>
      <c r="J314">
        <v>9</v>
      </c>
      <c r="K314">
        <v>417.78</v>
      </c>
      <c r="L314">
        <v>2178.06</v>
      </c>
      <c r="M314">
        <f>Table1[[#This Row],[Quantity Sold]]*Table1[[#This Row],[Unit Price]]</f>
        <v>3760.0199999999995</v>
      </c>
      <c r="N314">
        <f>Table1[[#This Row],[Sales Amount]]-Table1[[#This Row],[Cost Amount]]</f>
        <v>1581.9599999999996</v>
      </c>
      <c r="O314" t="str">
        <f>"Q"&amp;ROUNDUP(MONTH(Table1[[#This Row],[Order Date]])/3,0)</f>
        <v>Q3</v>
      </c>
      <c r="P314" t="str">
        <f>TEXT(Table1[[#This Row],[Order Date]],"MMM")</f>
        <v>Jul</v>
      </c>
      <c r="Q314">
        <f>MONTH(Table1[[#This Row],[Order Date]])</f>
        <v>7</v>
      </c>
    </row>
    <row r="315" spans="1:17" x14ac:dyDescent="0.25">
      <c r="A315" t="s">
        <v>707</v>
      </c>
      <c r="B315" s="2">
        <v>46203</v>
      </c>
      <c r="C315">
        <v>2026</v>
      </c>
      <c r="D315" t="s">
        <v>47</v>
      </c>
      <c r="E315" t="s">
        <v>521</v>
      </c>
      <c r="F315" t="s">
        <v>83</v>
      </c>
      <c r="G315" t="s">
        <v>84</v>
      </c>
      <c r="H315" t="s">
        <v>35</v>
      </c>
      <c r="I315" t="s">
        <v>23</v>
      </c>
      <c r="J315">
        <v>3</v>
      </c>
      <c r="K315">
        <v>58.51</v>
      </c>
      <c r="L315">
        <v>126.1</v>
      </c>
      <c r="M315">
        <f>Table1[[#This Row],[Quantity Sold]]*Table1[[#This Row],[Unit Price]]</f>
        <v>175.53</v>
      </c>
      <c r="N315">
        <f>Table1[[#This Row],[Sales Amount]]-Table1[[#This Row],[Cost Amount]]</f>
        <v>49.430000000000007</v>
      </c>
      <c r="O315" t="str">
        <f>"Q"&amp;ROUNDUP(MONTH(Table1[[#This Row],[Order Date]])/3,0)</f>
        <v>Q2</v>
      </c>
      <c r="P315" t="str">
        <f>TEXT(Table1[[#This Row],[Order Date]],"MMM")</f>
        <v>Jun</v>
      </c>
      <c r="Q315">
        <f>MONTH(Table1[[#This Row],[Order Date]])</f>
        <v>6</v>
      </c>
    </row>
    <row r="316" spans="1:17" x14ac:dyDescent="0.25">
      <c r="A316" t="s">
        <v>708</v>
      </c>
      <c r="B316" s="2">
        <v>46230</v>
      </c>
      <c r="C316">
        <v>2026</v>
      </c>
      <c r="D316" t="s">
        <v>203</v>
      </c>
      <c r="E316" t="s">
        <v>413</v>
      </c>
      <c r="F316" t="s">
        <v>83</v>
      </c>
      <c r="G316" t="s">
        <v>84</v>
      </c>
      <c r="H316" t="s">
        <v>35</v>
      </c>
      <c r="I316" t="s">
        <v>42</v>
      </c>
      <c r="J316">
        <v>9</v>
      </c>
      <c r="K316">
        <v>209.61</v>
      </c>
      <c r="L316">
        <v>1224.8599999999999</v>
      </c>
      <c r="M316">
        <f>Table1[[#This Row],[Quantity Sold]]*Table1[[#This Row],[Unit Price]]</f>
        <v>1886.4900000000002</v>
      </c>
      <c r="N316">
        <f>Table1[[#This Row],[Sales Amount]]-Table1[[#This Row],[Cost Amount]]</f>
        <v>661.63000000000034</v>
      </c>
      <c r="O316" t="str">
        <f>"Q"&amp;ROUNDUP(MONTH(Table1[[#This Row],[Order Date]])/3,0)</f>
        <v>Q3</v>
      </c>
      <c r="P316" t="str">
        <f>TEXT(Table1[[#This Row],[Order Date]],"MMM")</f>
        <v>Jul</v>
      </c>
      <c r="Q316">
        <f>MONTH(Table1[[#This Row],[Order Date]])</f>
        <v>7</v>
      </c>
    </row>
    <row r="317" spans="1:17" x14ac:dyDescent="0.25">
      <c r="A317" t="s">
        <v>709</v>
      </c>
      <c r="B317" s="2">
        <v>46159</v>
      </c>
      <c r="C317">
        <v>2026</v>
      </c>
      <c r="D317" t="s">
        <v>25</v>
      </c>
      <c r="E317" t="s">
        <v>710</v>
      </c>
      <c r="F317" t="s">
        <v>241</v>
      </c>
      <c r="G317" t="s">
        <v>242</v>
      </c>
      <c r="H317" t="s">
        <v>35</v>
      </c>
      <c r="I317" t="s">
        <v>23</v>
      </c>
      <c r="J317">
        <v>18</v>
      </c>
      <c r="K317">
        <v>438.68</v>
      </c>
      <c r="L317">
        <v>5201</v>
      </c>
      <c r="M317">
        <f>Table1[[#This Row],[Quantity Sold]]*Table1[[#This Row],[Unit Price]]</f>
        <v>7896.24</v>
      </c>
      <c r="N317">
        <f>Table1[[#This Row],[Sales Amount]]-Table1[[#This Row],[Cost Amount]]</f>
        <v>2695.24</v>
      </c>
      <c r="O317" t="str">
        <f>"Q"&amp;ROUNDUP(MONTH(Table1[[#This Row],[Order Date]])/3,0)</f>
        <v>Q2</v>
      </c>
      <c r="P317" t="str">
        <f>TEXT(Table1[[#This Row],[Order Date]],"MMM")</f>
        <v>May</v>
      </c>
      <c r="Q317">
        <f>MONTH(Table1[[#This Row],[Order Date]])</f>
        <v>5</v>
      </c>
    </row>
    <row r="318" spans="1:17" x14ac:dyDescent="0.25">
      <c r="A318" t="s">
        <v>711</v>
      </c>
      <c r="B318" s="2">
        <v>46227</v>
      </c>
      <c r="C318">
        <v>2026</v>
      </c>
      <c r="D318" t="s">
        <v>446</v>
      </c>
      <c r="E318" t="s">
        <v>690</v>
      </c>
      <c r="F318" t="s">
        <v>278</v>
      </c>
      <c r="G318" t="s">
        <v>279</v>
      </c>
      <c r="H318" t="s">
        <v>220</v>
      </c>
      <c r="I318" t="s">
        <v>29</v>
      </c>
      <c r="J318">
        <v>15</v>
      </c>
      <c r="K318">
        <v>130.05000000000001</v>
      </c>
      <c r="L318">
        <v>1188.31</v>
      </c>
      <c r="M318">
        <f>Table1[[#This Row],[Quantity Sold]]*Table1[[#This Row],[Unit Price]]</f>
        <v>1950.7500000000002</v>
      </c>
      <c r="N318">
        <f>Table1[[#This Row],[Sales Amount]]-Table1[[#This Row],[Cost Amount]]</f>
        <v>762.44000000000028</v>
      </c>
      <c r="O318" t="str">
        <f>"Q"&amp;ROUNDUP(MONTH(Table1[[#This Row],[Order Date]])/3,0)</f>
        <v>Q3</v>
      </c>
      <c r="P318" t="str">
        <f>TEXT(Table1[[#This Row],[Order Date]],"MMM")</f>
        <v>Jul</v>
      </c>
      <c r="Q318">
        <f>MONTH(Table1[[#This Row],[Order Date]])</f>
        <v>7</v>
      </c>
    </row>
    <row r="319" spans="1:17" x14ac:dyDescent="0.25">
      <c r="A319" t="s">
        <v>712</v>
      </c>
      <c r="B319" s="2">
        <v>46264</v>
      </c>
      <c r="C319">
        <v>2026</v>
      </c>
      <c r="D319" t="s">
        <v>268</v>
      </c>
      <c r="E319" t="s">
        <v>610</v>
      </c>
      <c r="F319" t="s">
        <v>106</v>
      </c>
      <c r="G319" t="s">
        <v>107</v>
      </c>
      <c r="H319" t="s">
        <v>35</v>
      </c>
      <c r="I319" t="s">
        <v>42</v>
      </c>
      <c r="J319">
        <v>1</v>
      </c>
      <c r="K319">
        <v>437.87</v>
      </c>
      <c r="L319">
        <v>279.17</v>
      </c>
      <c r="M319">
        <f>Table1[[#This Row],[Quantity Sold]]*Table1[[#This Row],[Unit Price]]</f>
        <v>437.87</v>
      </c>
      <c r="N319">
        <f>Table1[[#This Row],[Sales Amount]]-Table1[[#This Row],[Cost Amount]]</f>
        <v>158.69999999999999</v>
      </c>
      <c r="O319" t="str">
        <f>"Q"&amp;ROUNDUP(MONTH(Table1[[#This Row],[Order Date]])/3,0)</f>
        <v>Q3</v>
      </c>
      <c r="P319" t="str">
        <f>TEXT(Table1[[#This Row],[Order Date]],"MMM")</f>
        <v>Aug</v>
      </c>
      <c r="Q319">
        <f>MONTH(Table1[[#This Row],[Order Date]])</f>
        <v>8</v>
      </c>
    </row>
    <row r="320" spans="1:17" x14ac:dyDescent="0.25">
      <c r="A320" t="s">
        <v>713</v>
      </c>
      <c r="B320" s="2">
        <v>46248</v>
      </c>
      <c r="C320">
        <v>2026</v>
      </c>
      <c r="D320" t="s">
        <v>142</v>
      </c>
      <c r="E320" t="s">
        <v>439</v>
      </c>
      <c r="F320" t="s">
        <v>61</v>
      </c>
      <c r="G320" t="s">
        <v>62</v>
      </c>
      <c r="H320" t="s">
        <v>22</v>
      </c>
      <c r="I320" t="s">
        <v>23</v>
      </c>
      <c r="J320">
        <v>1</v>
      </c>
      <c r="K320">
        <v>294.76</v>
      </c>
      <c r="L320">
        <v>220.96</v>
      </c>
      <c r="M320">
        <f>Table1[[#This Row],[Quantity Sold]]*Table1[[#This Row],[Unit Price]]</f>
        <v>294.76</v>
      </c>
      <c r="N320">
        <f>Table1[[#This Row],[Sales Amount]]-Table1[[#This Row],[Cost Amount]]</f>
        <v>73.799999999999983</v>
      </c>
      <c r="O320" t="str">
        <f>"Q"&amp;ROUNDUP(MONTH(Table1[[#This Row],[Order Date]])/3,0)</f>
        <v>Q3</v>
      </c>
      <c r="P320" t="str">
        <f>TEXT(Table1[[#This Row],[Order Date]],"MMM")</f>
        <v>Aug</v>
      </c>
      <c r="Q320">
        <f>MONTH(Table1[[#This Row],[Order Date]])</f>
        <v>8</v>
      </c>
    </row>
    <row r="321" spans="1:17" x14ac:dyDescent="0.25">
      <c r="A321" t="s">
        <v>714</v>
      </c>
      <c r="B321" s="2">
        <v>46160</v>
      </c>
      <c r="C321">
        <v>2026</v>
      </c>
      <c r="D321" t="s">
        <v>541</v>
      </c>
      <c r="E321" t="s">
        <v>631</v>
      </c>
      <c r="F321" t="s">
        <v>313</v>
      </c>
      <c r="G321" t="s">
        <v>314</v>
      </c>
      <c r="H321" t="s">
        <v>68</v>
      </c>
      <c r="I321" t="s">
        <v>23</v>
      </c>
      <c r="J321">
        <v>4</v>
      </c>
      <c r="K321">
        <v>120.81</v>
      </c>
      <c r="L321">
        <v>258.5</v>
      </c>
      <c r="M321">
        <f>Table1[[#This Row],[Quantity Sold]]*Table1[[#This Row],[Unit Price]]</f>
        <v>483.24</v>
      </c>
      <c r="N321">
        <f>Table1[[#This Row],[Sales Amount]]-Table1[[#This Row],[Cost Amount]]</f>
        <v>224.74</v>
      </c>
      <c r="O321" t="str">
        <f>"Q"&amp;ROUNDUP(MONTH(Table1[[#This Row],[Order Date]])/3,0)</f>
        <v>Q2</v>
      </c>
      <c r="P321" t="str">
        <f>TEXT(Table1[[#This Row],[Order Date]],"MMM")</f>
        <v>May</v>
      </c>
      <c r="Q321">
        <f>MONTH(Table1[[#This Row],[Order Date]])</f>
        <v>5</v>
      </c>
    </row>
    <row r="322" spans="1:17" x14ac:dyDescent="0.25">
      <c r="A322" t="s">
        <v>715</v>
      </c>
      <c r="B322" s="2">
        <v>46291</v>
      </c>
      <c r="C322">
        <v>2026</v>
      </c>
      <c r="D322" t="s">
        <v>559</v>
      </c>
      <c r="E322" t="s">
        <v>525</v>
      </c>
      <c r="F322" t="s">
        <v>61</v>
      </c>
      <c r="G322" t="s">
        <v>62</v>
      </c>
      <c r="H322" t="s">
        <v>22</v>
      </c>
      <c r="I322" t="s">
        <v>42</v>
      </c>
      <c r="J322">
        <v>16</v>
      </c>
      <c r="K322">
        <v>260.06</v>
      </c>
      <c r="L322">
        <v>2550.31</v>
      </c>
      <c r="M322">
        <f>Table1[[#This Row],[Quantity Sold]]*Table1[[#This Row],[Unit Price]]</f>
        <v>4160.96</v>
      </c>
      <c r="N322">
        <f>Table1[[#This Row],[Sales Amount]]-Table1[[#This Row],[Cost Amount]]</f>
        <v>1610.65</v>
      </c>
      <c r="O322" t="str">
        <f>"Q"&amp;ROUNDUP(MONTH(Table1[[#This Row],[Order Date]])/3,0)</f>
        <v>Q3</v>
      </c>
      <c r="P322" t="str">
        <f>TEXT(Table1[[#This Row],[Order Date]],"MMM")</f>
        <v>Sep</v>
      </c>
      <c r="Q322">
        <f>MONTH(Table1[[#This Row],[Order Date]])</f>
        <v>9</v>
      </c>
    </row>
    <row r="323" spans="1:17" x14ac:dyDescent="0.25">
      <c r="A323" t="s">
        <v>716</v>
      </c>
      <c r="B323" s="2">
        <v>46141</v>
      </c>
      <c r="C323">
        <v>2026</v>
      </c>
      <c r="D323" t="s">
        <v>137</v>
      </c>
      <c r="E323" t="s">
        <v>289</v>
      </c>
      <c r="F323" t="s">
        <v>169</v>
      </c>
      <c r="G323" t="s">
        <v>170</v>
      </c>
      <c r="H323" t="s">
        <v>22</v>
      </c>
      <c r="I323" t="s">
        <v>52</v>
      </c>
      <c r="J323">
        <v>20</v>
      </c>
      <c r="K323">
        <v>302.88</v>
      </c>
      <c r="L323">
        <v>4212.5200000000004</v>
      </c>
      <c r="M323">
        <f>Table1[[#This Row],[Quantity Sold]]*Table1[[#This Row],[Unit Price]]</f>
        <v>6057.6</v>
      </c>
      <c r="N323">
        <f>Table1[[#This Row],[Sales Amount]]-Table1[[#This Row],[Cost Amount]]</f>
        <v>1845.08</v>
      </c>
      <c r="O323" t="str">
        <f>"Q"&amp;ROUNDUP(MONTH(Table1[[#This Row],[Order Date]])/3,0)</f>
        <v>Q2</v>
      </c>
      <c r="P323" t="str">
        <f>TEXT(Table1[[#This Row],[Order Date]],"MMM")</f>
        <v>Apr</v>
      </c>
      <c r="Q323">
        <f>MONTH(Table1[[#This Row],[Order Date]])</f>
        <v>4</v>
      </c>
    </row>
    <row r="324" spans="1:17" x14ac:dyDescent="0.25">
      <c r="A324" t="s">
        <v>717</v>
      </c>
      <c r="B324" s="2">
        <v>46385</v>
      </c>
      <c r="C324">
        <v>2026</v>
      </c>
      <c r="D324" t="s">
        <v>613</v>
      </c>
      <c r="E324" t="s">
        <v>533</v>
      </c>
      <c r="F324" t="s">
        <v>173</v>
      </c>
      <c r="G324" t="s">
        <v>174</v>
      </c>
      <c r="H324" t="s">
        <v>22</v>
      </c>
      <c r="I324" t="s">
        <v>29</v>
      </c>
      <c r="J324">
        <v>11</v>
      </c>
      <c r="K324">
        <v>368.9</v>
      </c>
      <c r="L324">
        <v>2709.36</v>
      </c>
      <c r="M324">
        <f>Table1[[#This Row],[Quantity Sold]]*Table1[[#This Row],[Unit Price]]</f>
        <v>4057.8999999999996</v>
      </c>
      <c r="N324">
        <f>Table1[[#This Row],[Sales Amount]]-Table1[[#This Row],[Cost Amount]]</f>
        <v>1348.5399999999995</v>
      </c>
      <c r="O324" t="str">
        <f>"Q"&amp;ROUNDUP(MONTH(Table1[[#This Row],[Order Date]])/3,0)</f>
        <v>Q4</v>
      </c>
      <c r="P324" t="str">
        <f>TEXT(Table1[[#This Row],[Order Date]],"MMM")</f>
        <v>Dec</v>
      </c>
      <c r="Q324">
        <f>MONTH(Table1[[#This Row],[Order Date]])</f>
        <v>12</v>
      </c>
    </row>
    <row r="325" spans="1:17" x14ac:dyDescent="0.25">
      <c r="A325" t="s">
        <v>718</v>
      </c>
      <c r="B325" s="2">
        <v>46382</v>
      </c>
      <c r="C325">
        <v>2026</v>
      </c>
      <c r="D325" t="s">
        <v>157</v>
      </c>
      <c r="E325" t="s">
        <v>719</v>
      </c>
      <c r="F325" t="s">
        <v>173</v>
      </c>
      <c r="G325" t="s">
        <v>174</v>
      </c>
      <c r="H325" t="s">
        <v>22</v>
      </c>
      <c r="I325" t="s">
        <v>23</v>
      </c>
      <c r="J325">
        <v>12</v>
      </c>
      <c r="K325">
        <v>115.44</v>
      </c>
      <c r="L325">
        <v>1003.02</v>
      </c>
      <c r="M325">
        <f>Table1[[#This Row],[Quantity Sold]]*Table1[[#This Row],[Unit Price]]</f>
        <v>1385.28</v>
      </c>
      <c r="N325">
        <f>Table1[[#This Row],[Sales Amount]]-Table1[[#This Row],[Cost Amount]]</f>
        <v>382.26</v>
      </c>
      <c r="O325" t="str">
        <f>"Q"&amp;ROUNDUP(MONTH(Table1[[#This Row],[Order Date]])/3,0)</f>
        <v>Q4</v>
      </c>
      <c r="P325" t="str">
        <f>TEXT(Table1[[#This Row],[Order Date]],"MMM")</f>
        <v>Dec</v>
      </c>
      <c r="Q325">
        <f>MONTH(Table1[[#This Row],[Order Date]])</f>
        <v>12</v>
      </c>
    </row>
    <row r="326" spans="1:17" x14ac:dyDescent="0.25">
      <c r="A326" t="s">
        <v>720</v>
      </c>
      <c r="B326" s="2">
        <v>46306</v>
      </c>
      <c r="C326">
        <v>2026</v>
      </c>
      <c r="D326" t="s">
        <v>121</v>
      </c>
      <c r="E326" t="s">
        <v>496</v>
      </c>
      <c r="F326" t="s">
        <v>241</v>
      </c>
      <c r="G326" t="s">
        <v>242</v>
      </c>
      <c r="H326" t="s">
        <v>35</v>
      </c>
      <c r="I326" t="s">
        <v>52</v>
      </c>
      <c r="J326">
        <v>6</v>
      </c>
      <c r="K326">
        <v>349.4</v>
      </c>
      <c r="L326">
        <v>1226.68</v>
      </c>
      <c r="M326">
        <f>Table1[[#This Row],[Quantity Sold]]*Table1[[#This Row],[Unit Price]]</f>
        <v>2096.3999999999996</v>
      </c>
      <c r="N326">
        <f>Table1[[#This Row],[Sales Amount]]-Table1[[#This Row],[Cost Amount]]</f>
        <v>869.71999999999957</v>
      </c>
      <c r="O326" t="str">
        <f>"Q"&amp;ROUNDUP(MONTH(Table1[[#This Row],[Order Date]])/3,0)</f>
        <v>Q4</v>
      </c>
      <c r="P326" t="str">
        <f>TEXT(Table1[[#This Row],[Order Date]],"MMM")</f>
        <v>Oct</v>
      </c>
      <c r="Q326">
        <f>MONTH(Table1[[#This Row],[Order Date]])</f>
        <v>10</v>
      </c>
    </row>
    <row r="327" spans="1:17" x14ac:dyDescent="0.25">
      <c r="A327" t="s">
        <v>721</v>
      </c>
      <c r="B327" s="2">
        <v>46157</v>
      </c>
      <c r="C327">
        <v>2026</v>
      </c>
      <c r="D327" t="s">
        <v>706</v>
      </c>
      <c r="E327" t="s">
        <v>266</v>
      </c>
      <c r="F327" t="s">
        <v>517</v>
      </c>
      <c r="G327" t="s">
        <v>518</v>
      </c>
      <c r="H327" t="s">
        <v>220</v>
      </c>
      <c r="I327" t="s">
        <v>42</v>
      </c>
      <c r="J327">
        <v>3</v>
      </c>
      <c r="K327">
        <v>457.27</v>
      </c>
      <c r="L327">
        <v>894.8</v>
      </c>
      <c r="M327">
        <f>Table1[[#This Row],[Quantity Sold]]*Table1[[#This Row],[Unit Price]]</f>
        <v>1371.81</v>
      </c>
      <c r="N327">
        <f>Table1[[#This Row],[Sales Amount]]-Table1[[#This Row],[Cost Amount]]</f>
        <v>477.01</v>
      </c>
      <c r="O327" t="str">
        <f>"Q"&amp;ROUNDUP(MONTH(Table1[[#This Row],[Order Date]])/3,0)</f>
        <v>Q2</v>
      </c>
      <c r="P327" t="str">
        <f>TEXT(Table1[[#This Row],[Order Date]],"MMM")</f>
        <v>May</v>
      </c>
      <c r="Q327">
        <f>MONTH(Table1[[#This Row],[Order Date]])</f>
        <v>5</v>
      </c>
    </row>
    <row r="328" spans="1:17" x14ac:dyDescent="0.25">
      <c r="A328" t="s">
        <v>722</v>
      </c>
      <c r="B328" s="2">
        <v>46377</v>
      </c>
      <c r="C328">
        <v>2026</v>
      </c>
      <c r="D328" t="s">
        <v>147</v>
      </c>
      <c r="E328" t="s">
        <v>723</v>
      </c>
      <c r="F328" t="s">
        <v>215</v>
      </c>
      <c r="G328" t="s">
        <v>216</v>
      </c>
      <c r="H328" t="s">
        <v>51</v>
      </c>
      <c r="I328" t="s">
        <v>23</v>
      </c>
      <c r="J328">
        <v>17</v>
      </c>
      <c r="K328">
        <v>359</v>
      </c>
      <c r="L328">
        <v>3402.63</v>
      </c>
      <c r="M328">
        <f>Table1[[#This Row],[Quantity Sold]]*Table1[[#This Row],[Unit Price]]</f>
        <v>6103</v>
      </c>
      <c r="N328">
        <f>Table1[[#This Row],[Sales Amount]]-Table1[[#This Row],[Cost Amount]]</f>
        <v>2700.37</v>
      </c>
      <c r="O328" t="str">
        <f>"Q"&amp;ROUNDUP(MONTH(Table1[[#This Row],[Order Date]])/3,0)</f>
        <v>Q4</v>
      </c>
      <c r="P328" t="str">
        <f>TEXT(Table1[[#This Row],[Order Date]],"MMM")</f>
        <v>Dec</v>
      </c>
      <c r="Q328">
        <f>MONTH(Table1[[#This Row],[Order Date]])</f>
        <v>12</v>
      </c>
    </row>
    <row r="329" spans="1:17" x14ac:dyDescent="0.25">
      <c r="A329" t="s">
        <v>724</v>
      </c>
      <c r="B329" s="2">
        <v>46283</v>
      </c>
      <c r="C329">
        <v>2026</v>
      </c>
      <c r="D329" t="s">
        <v>660</v>
      </c>
      <c r="E329" t="s">
        <v>504</v>
      </c>
      <c r="F329" t="s">
        <v>154</v>
      </c>
      <c r="G329" t="s">
        <v>155</v>
      </c>
      <c r="H329" t="s">
        <v>68</v>
      </c>
      <c r="I329" t="s">
        <v>42</v>
      </c>
      <c r="J329">
        <v>10</v>
      </c>
      <c r="K329">
        <v>230.58</v>
      </c>
      <c r="L329">
        <v>1543.13</v>
      </c>
      <c r="M329">
        <f>Table1[[#This Row],[Quantity Sold]]*Table1[[#This Row],[Unit Price]]</f>
        <v>2305.8000000000002</v>
      </c>
      <c r="N329">
        <f>Table1[[#This Row],[Sales Amount]]-Table1[[#This Row],[Cost Amount]]</f>
        <v>762.67000000000007</v>
      </c>
      <c r="O329" t="str">
        <f>"Q"&amp;ROUNDUP(MONTH(Table1[[#This Row],[Order Date]])/3,0)</f>
        <v>Q3</v>
      </c>
      <c r="P329" t="str">
        <f>TEXT(Table1[[#This Row],[Order Date]],"MMM")</f>
        <v>Sep</v>
      </c>
      <c r="Q329">
        <f>MONTH(Table1[[#This Row],[Order Date]])</f>
        <v>9</v>
      </c>
    </row>
    <row r="330" spans="1:17" x14ac:dyDescent="0.25">
      <c r="A330" t="s">
        <v>725</v>
      </c>
      <c r="B330" s="2">
        <v>46049</v>
      </c>
      <c r="C330">
        <v>2026</v>
      </c>
      <c r="D330" t="s">
        <v>209</v>
      </c>
      <c r="E330" t="s">
        <v>726</v>
      </c>
      <c r="F330" t="s">
        <v>123</v>
      </c>
      <c r="G330" t="s">
        <v>124</v>
      </c>
      <c r="H330" t="s">
        <v>41</v>
      </c>
      <c r="I330" t="s">
        <v>23</v>
      </c>
      <c r="J330">
        <v>16</v>
      </c>
      <c r="K330">
        <v>44.96</v>
      </c>
      <c r="L330">
        <v>549.46</v>
      </c>
      <c r="M330">
        <f>Table1[[#This Row],[Quantity Sold]]*Table1[[#This Row],[Unit Price]]</f>
        <v>719.36</v>
      </c>
      <c r="N330">
        <f>Table1[[#This Row],[Sales Amount]]-Table1[[#This Row],[Cost Amount]]</f>
        <v>169.89999999999998</v>
      </c>
      <c r="O330" t="str">
        <f>"Q"&amp;ROUNDUP(MONTH(Table1[[#This Row],[Order Date]])/3,0)</f>
        <v>Q1</v>
      </c>
      <c r="P330" t="str">
        <f>TEXT(Table1[[#This Row],[Order Date]],"MMM")</f>
        <v>Jan</v>
      </c>
      <c r="Q330">
        <f>MONTH(Table1[[#This Row],[Order Date]])</f>
        <v>1</v>
      </c>
    </row>
    <row r="331" spans="1:17" x14ac:dyDescent="0.25">
      <c r="A331" t="s">
        <v>727</v>
      </c>
      <c r="B331" s="2">
        <v>46030</v>
      </c>
      <c r="C331">
        <v>2026</v>
      </c>
      <c r="D331" t="s">
        <v>99</v>
      </c>
      <c r="E331" t="s">
        <v>312</v>
      </c>
      <c r="F331" t="s">
        <v>484</v>
      </c>
      <c r="G331" t="s">
        <v>485</v>
      </c>
      <c r="H331" t="s">
        <v>97</v>
      </c>
      <c r="I331" t="s">
        <v>52</v>
      </c>
      <c r="J331">
        <v>18</v>
      </c>
      <c r="K331">
        <v>489.6</v>
      </c>
      <c r="L331">
        <v>6403.04</v>
      </c>
      <c r="M331">
        <f>Table1[[#This Row],[Quantity Sold]]*Table1[[#This Row],[Unit Price]]</f>
        <v>8812.8000000000011</v>
      </c>
      <c r="N331">
        <f>Table1[[#This Row],[Sales Amount]]-Table1[[#This Row],[Cost Amount]]</f>
        <v>2409.7600000000011</v>
      </c>
      <c r="O331" t="str">
        <f>"Q"&amp;ROUNDUP(MONTH(Table1[[#This Row],[Order Date]])/3,0)</f>
        <v>Q1</v>
      </c>
      <c r="P331" t="str">
        <f>TEXT(Table1[[#This Row],[Order Date]],"MMM")</f>
        <v>Jan</v>
      </c>
      <c r="Q331">
        <f>MONTH(Table1[[#This Row],[Order Date]])</f>
        <v>1</v>
      </c>
    </row>
    <row r="332" spans="1:17" x14ac:dyDescent="0.25">
      <c r="A332" t="s">
        <v>728</v>
      </c>
      <c r="B332" s="2">
        <v>46151</v>
      </c>
      <c r="C332">
        <v>2026</v>
      </c>
      <c r="D332" t="s">
        <v>541</v>
      </c>
      <c r="E332" t="s">
        <v>729</v>
      </c>
      <c r="F332" t="s">
        <v>101</v>
      </c>
      <c r="G332" t="s">
        <v>102</v>
      </c>
      <c r="H332" t="s">
        <v>22</v>
      </c>
      <c r="I332" t="s">
        <v>29</v>
      </c>
      <c r="J332">
        <v>6</v>
      </c>
      <c r="K332">
        <v>260.3</v>
      </c>
      <c r="L332">
        <v>958.79</v>
      </c>
      <c r="M332">
        <f>Table1[[#This Row],[Quantity Sold]]*Table1[[#This Row],[Unit Price]]</f>
        <v>1561.8000000000002</v>
      </c>
      <c r="N332">
        <f>Table1[[#This Row],[Sales Amount]]-Table1[[#This Row],[Cost Amount]]</f>
        <v>603.01000000000022</v>
      </c>
      <c r="O332" t="str">
        <f>"Q"&amp;ROUNDUP(MONTH(Table1[[#This Row],[Order Date]])/3,0)</f>
        <v>Q2</v>
      </c>
      <c r="P332" t="str">
        <f>TEXT(Table1[[#This Row],[Order Date]],"MMM")</f>
        <v>May</v>
      </c>
      <c r="Q332">
        <f>MONTH(Table1[[#This Row],[Order Date]])</f>
        <v>5</v>
      </c>
    </row>
    <row r="333" spans="1:17" x14ac:dyDescent="0.25">
      <c r="A333" t="s">
        <v>730</v>
      </c>
      <c r="B333" s="2">
        <v>46343</v>
      </c>
      <c r="C333">
        <v>2026</v>
      </c>
      <c r="D333" t="s">
        <v>271</v>
      </c>
      <c r="E333" t="s">
        <v>731</v>
      </c>
      <c r="F333" t="s">
        <v>149</v>
      </c>
      <c r="G333" t="s">
        <v>150</v>
      </c>
      <c r="H333" t="s">
        <v>22</v>
      </c>
      <c r="I333" t="s">
        <v>52</v>
      </c>
      <c r="J333">
        <v>9</v>
      </c>
      <c r="K333">
        <v>472.84</v>
      </c>
      <c r="L333">
        <v>3615.86</v>
      </c>
      <c r="M333">
        <f>Table1[[#This Row],[Quantity Sold]]*Table1[[#This Row],[Unit Price]]</f>
        <v>4255.5599999999995</v>
      </c>
      <c r="N333">
        <f>Table1[[#This Row],[Sales Amount]]-Table1[[#This Row],[Cost Amount]]</f>
        <v>639.69999999999936</v>
      </c>
      <c r="O333" t="str">
        <f>"Q"&amp;ROUNDUP(MONTH(Table1[[#This Row],[Order Date]])/3,0)</f>
        <v>Q4</v>
      </c>
      <c r="P333" t="str">
        <f>TEXT(Table1[[#This Row],[Order Date]],"MMM")</f>
        <v>Nov</v>
      </c>
      <c r="Q333">
        <f>MONTH(Table1[[#This Row],[Order Date]])</f>
        <v>11</v>
      </c>
    </row>
    <row r="334" spans="1:17" x14ac:dyDescent="0.25">
      <c r="A334" t="s">
        <v>732</v>
      </c>
      <c r="B334" s="2">
        <v>46177</v>
      </c>
      <c r="C334">
        <v>2026</v>
      </c>
      <c r="D334" t="s">
        <v>316</v>
      </c>
      <c r="E334" t="s">
        <v>168</v>
      </c>
      <c r="F334" t="s">
        <v>83</v>
      </c>
      <c r="G334" t="s">
        <v>84</v>
      </c>
      <c r="H334" t="s">
        <v>35</v>
      </c>
      <c r="I334" t="s">
        <v>52</v>
      </c>
      <c r="J334">
        <v>17</v>
      </c>
      <c r="K334">
        <v>75.47</v>
      </c>
      <c r="L334">
        <v>841.3</v>
      </c>
      <c r="M334">
        <f>Table1[[#This Row],[Quantity Sold]]*Table1[[#This Row],[Unit Price]]</f>
        <v>1282.99</v>
      </c>
      <c r="N334">
        <f>Table1[[#This Row],[Sales Amount]]-Table1[[#This Row],[Cost Amount]]</f>
        <v>441.69000000000005</v>
      </c>
      <c r="O334" t="str">
        <f>"Q"&amp;ROUNDUP(MONTH(Table1[[#This Row],[Order Date]])/3,0)</f>
        <v>Q2</v>
      </c>
      <c r="P334" t="str">
        <f>TEXT(Table1[[#This Row],[Order Date]],"MMM")</f>
        <v>Jun</v>
      </c>
      <c r="Q334">
        <f>MONTH(Table1[[#This Row],[Order Date]])</f>
        <v>6</v>
      </c>
    </row>
    <row r="335" spans="1:17" x14ac:dyDescent="0.25">
      <c r="A335" t="s">
        <v>733</v>
      </c>
      <c r="B335" s="2">
        <v>46158</v>
      </c>
      <c r="C335">
        <v>2026</v>
      </c>
      <c r="D335" t="s">
        <v>247</v>
      </c>
      <c r="E335" t="s">
        <v>138</v>
      </c>
      <c r="F335" t="s">
        <v>49</v>
      </c>
      <c r="G335" t="s">
        <v>50</v>
      </c>
      <c r="H335" t="s">
        <v>51</v>
      </c>
      <c r="I335" t="s">
        <v>52</v>
      </c>
      <c r="J335">
        <v>6</v>
      </c>
      <c r="K335">
        <v>397.6</v>
      </c>
      <c r="L335">
        <v>1332.3</v>
      </c>
      <c r="M335">
        <f>Table1[[#This Row],[Quantity Sold]]*Table1[[#This Row],[Unit Price]]</f>
        <v>2385.6000000000004</v>
      </c>
      <c r="N335">
        <f>Table1[[#This Row],[Sales Amount]]-Table1[[#This Row],[Cost Amount]]</f>
        <v>1053.3000000000004</v>
      </c>
      <c r="O335" t="str">
        <f>"Q"&amp;ROUNDUP(MONTH(Table1[[#This Row],[Order Date]])/3,0)</f>
        <v>Q2</v>
      </c>
      <c r="P335" t="str">
        <f>TEXT(Table1[[#This Row],[Order Date]],"MMM")</f>
        <v>May</v>
      </c>
      <c r="Q335">
        <f>MONTH(Table1[[#This Row],[Order Date]])</f>
        <v>5</v>
      </c>
    </row>
    <row r="336" spans="1:17" x14ac:dyDescent="0.25">
      <c r="A336" t="s">
        <v>734</v>
      </c>
      <c r="B336" s="2">
        <v>46366</v>
      </c>
      <c r="C336">
        <v>2026</v>
      </c>
      <c r="D336" t="s">
        <v>706</v>
      </c>
      <c r="E336" t="s">
        <v>207</v>
      </c>
      <c r="F336" t="s">
        <v>293</v>
      </c>
      <c r="G336" t="s">
        <v>294</v>
      </c>
      <c r="H336" t="s">
        <v>68</v>
      </c>
      <c r="I336" t="s">
        <v>29</v>
      </c>
      <c r="J336">
        <v>10</v>
      </c>
      <c r="K336">
        <v>175.82</v>
      </c>
      <c r="L336">
        <v>1187.96</v>
      </c>
      <c r="M336">
        <f>Table1[[#This Row],[Quantity Sold]]*Table1[[#This Row],[Unit Price]]</f>
        <v>1758.1999999999998</v>
      </c>
      <c r="N336">
        <f>Table1[[#This Row],[Sales Amount]]-Table1[[#This Row],[Cost Amount]]</f>
        <v>570.23999999999978</v>
      </c>
      <c r="O336" t="str">
        <f>"Q"&amp;ROUNDUP(MONTH(Table1[[#This Row],[Order Date]])/3,0)</f>
        <v>Q4</v>
      </c>
      <c r="P336" t="str">
        <f>TEXT(Table1[[#This Row],[Order Date]],"MMM")</f>
        <v>Dec</v>
      </c>
      <c r="Q336">
        <f>MONTH(Table1[[#This Row],[Order Date]])</f>
        <v>12</v>
      </c>
    </row>
    <row r="337" spans="1:17" x14ac:dyDescent="0.25">
      <c r="A337" t="s">
        <v>735</v>
      </c>
      <c r="B337" s="2">
        <v>46188</v>
      </c>
      <c r="C337">
        <v>2026</v>
      </c>
      <c r="D337" t="s">
        <v>222</v>
      </c>
      <c r="E337" t="s">
        <v>113</v>
      </c>
      <c r="F337" t="s">
        <v>66</v>
      </c>
      <c r="G337" t="s">
        <v>67</v>
      </c>
      <c r="H337" t="s">
        <v>68</v>
      </c>
      <c r="I337" t="s">
        <v>23</v>
      </c>
      <c r="J337">
        <v>14</v>
      </c>
      <c r="K337">
        <v>139.07</v>
      </c>
      <c r="L337">
        <v>1287.98</v>
      </c>
      <c r="M337">
        <f>Table1[[#This Row],[Quantity Sold]]*Table1[[#This Row],[Unit Price]]</f>
        <v>1946.98</v>
      </c>
      <c r="N337">
        <f>Table1[[#This Row],[Sales Amount]]-Table1[[#This Row],[Cost Amount]]</f>
        <v>659</v>
      </c>
      <c r="O337" t="str">
        <f>"Q"&amp;ROUNDUP(MONTH(Table1[[#This Row],[Order Date]])/3,0)</f>
        <v>Q2</v>
      </c>
      <c r="P337" t="str">
        <f>TEXT(Table1[[#This Row],[Order Date]],"MMM")</f>
        <v>Jun</v>
      </c>
      <c r="Q337">
        <f>MONTH(Table1[[#This Row],[Order Date]])</f>
        <v>6</v>
      </c>
    </row>
    <row r="338" spans="1:17" x14ac:dyDescent="0.25">
      <c r="A338" t="s">
        <v>736</v>
      </c>
      <c r="B338" s="2">
        <v>46259</v>
      </c>
      <c r="C338">
        <v>2026</v>
      </c>
      <c r="D338" t="s">
        <v>552</v>
      </c>
      <c r="E338" t="s">
        <v>143</v>
      </c>
      <c r="F338" t="s">
        <v>424</v>
      </c>
      <c r="G338" t="s">
        <v>425</v>
      </c>
      <c r="H338" t="s">
        <v>41</v>
      </c>
      <c r="I338" t="s">
        <v>23</v>
      </c>
      <c r="J338">
        <v>3</v>
      </c>
      <c r="K338">
        <v>146.63</v>
      </c>
      <c r="L338">
        <v>297.39</v>
      </c>
      <c r="M338">
        <f>Table1[[#This Row],[Quantity Sold]]*Table1[[#This Row],[Unit Price]]</f>
        <v>439.89</v>
      </c>
      <c r="N338">
        <f>Table1[[#This Row],[Sales Amount]]-Table1[[#This Row],[Cost Amount]]</f>
        <v>142.5</v>
      </c>
      <c r="O338" t="str">
        <f>"Q"&amp;ROUNDUP(MONTH(Table1[[#This Row],[Order Date]])/3,0)</f>
        <v>Q3</v>
      </c>
      <c r="P338" t="str">
        <f>TEXT(Table1[[#This Row],[Order Date]],"MMM")</f>
        <v>Aug</v>
      </c>
      <c r="Q338">
        <f>MONTH(Table1[[#This Row],[Order Date]])</f>
        <v>8</v>
      </c>
    </row>
    <row r="339" spans="1:17" x14ac:dyDescent="0.25">
      <c r="A339" t="s">
        <v>737</v>
      </c>
      <c r="B339" s="2">
        <v>46367</v>
      </c>
      <c r="C339">
        <v>2026</v>
      </c>
      <c r="D339" t="s">
        <v>472</v>
      </c>
      <c r="E339" t="s">
        <v>521</v>
      </c>
      <c r="F339" t="s">
        <v>169</v>
      </c>
      <c r="G339" t="s">
        <v>170</v>
      </c>
      <c r="H339" t="s">
        <v>22</v>
      </c>
      <c r="I339" t="s">
        <v>52</v>
      </c>
      <c r="J339">
        <v>13</v>
      </c>
      <c r="K339">
        <v>359.21</v>
      </c>
      <c r="L339">
        <v>2853.15</v>
      </c>
      <c r="M339">
        <f>Table1[[#This Row],[Quantity Sold]]*Table1[[#This Row],[Unit Price]]</f>
        <v>4669.7299999999996</v>
      </c>
      <c r="N339">
        <f>Table1[[#This Row],[Sales Amount]]-Table1[[#This Row],[Cost Amount]]</f>
        <v>1816.5799999999995</v>
      </c>
      <c r="O339" t="str">
        <f>"Q"&amp;ROUNDUP(MONTH(Table1[[#This Row],[Order Date]])/3,0)</f>
        <v>Q4</v>
      </c>
      <c r="P339" t="str">
        <f>TEXT(Table1[[#This Row],[Order Date]],"MMM")</f>
        <v>Dec</v>
      </c>
      <c r="Q339">
        <f>MONTH(Table1[[#This Row],[Order Date]])</f>
        <v>12</v>
      </c>
    </row>
    <row r="340" spans="1:17" x14ac:dyDescent="0.25">
      <c r="A340" t="s">
        <v>738</v>
      </c>
      <c r="B340" s="2">
        <v>46063</v>
      </c>
      <c r="C340">
        <v>2026</v>
      </c>
      <c r="D340" t="s">
        <v>559</v>
      </c>
      <c r="E340" t="s">
        <v>700</v>
      </c>
      <c r="F340" t="s">
        <v>173</v>
      </c>
      <c r="G340" t="s">
        <v>174</v>
      </c>
      <c r="H340" t="s">
        <v>22</v>
      </c>
      <c r="I340" t="s">
        <v>52</v>
      </c>
      <c r="J340">
        <v>10</v>
      </c>
      <c r="K340">
        <v>480.68</v>
      </c>
      <c r="L340">
        <v>3956.1</v>
      </c>
      <c r="M340">
        <f>Table1[[#This Row],[Quantity Sold]]*Table1[[#This Row],[Unit Price]]</f>
        <v>4806.8</v>
      </c>
      <c r="N340">
        <f>Table1[[#This Row],[Sales Amount]]-Table1[[#This Row],[Cost Amount]]</f>
        <v>850.70000000000027</v>
      </c>
      <c r="O340" t="str">
        <f>"Q"&amp;ROUNDUP(MONTH(Table1[[#This Row],[Order Date]])/3,0)</f>
        <v>Q1</v>
      </c>
      <c r="P340" t="str">
        <f>TEXT(Table1[[#This Row],[Order Date]],"MMM")</f>
        <v>Feb</v>
      </c>
      <c r="Q340">
        <f>MONTH(Table1[[#This Row],[Order Date]])</f>
        <v>2</v>
      </c>
    </row>
    <row r="341" spans="1:17" x14ac:dyDescent="0.25">
      <c r="A341" t="s">
        <v>739</v>
      </c>
      <c r="B341" s="2">
        <v>46038</v>
      </c>
      <c r="C341">
        <v>2026</v>
      </c>
      <c r="D341" t="s">
        <v>247</v>
      </c>
      <c r="E341" t="s">
        <v>740</v>
      </c>
      <c r="F341" t="s">
        <v>66</v>
      </c>
      <c r="G341" t="s">
        <v>67</v>
      </c>
      <c r="H341" t="s">
        <v>68</v>
      </c>
      <c r="I341" t="s">
        <v>52</v>
      </c>
      <c r="J341">
        <v>16</v>
      </c>
      <c r="K341">
        <v>170.41</v>
      </c>
      <c r="L341">
        <v>1769</v>
      </c>
      <c r="M341">
        <f>Table1[[#This Row],[Quantity Sold]]*Table1[[#This Row],[Unit Price]]</f>
        <v>2726.56</v>
      </c>
      <c r="N341">
        <f>Table1[[#This Row],[Sales Amount]]-Table1[[#This Row],[Cost Amount]]</f>
        <v>957.56</v>
      </c>
      <c r="O341" t="str">
        <f>"Q"&amp;ROUNDUP(MONTH(Table1[[#This Row],[Order Date]])/3,0)</f>
        <v>Q1</v>
      </c>
      <c r="P341" t="str">
        <f>TEXT(Table1[[#This Row],[Order Date]],"MMM")</f>
        <v>Jan</v>
      </c>
      <c r="Q341">
        <f>MONTH(Table1[[#This Row],[Order Date]])</f>
        <v>1</v>
      </c>
    </row>
    <row r="342" spans="1:17" x14ac:dyDescent="0.25">
      <c r="A342" t="s">
        <v>741</v>
      </c>
      <c r="B342" s="2">
        <v>46351</v>
      </c>
      <c r="C342">
        <v>2026</v>
      </c>
      <c r="D342" t="s">
        <v>99</v>
      </c>
      <c r="E342" t="s">
        <v>742</v>
      </c>
      <c r="F342" t="s">
        <v>186</v>
      </c>
      <c r="G342" t="s">
        <v>187</v>
      </c>
      <c r="H342" t="s">
        <v>97</v>
      </c>
      <c r="I342" t="s">
        <v>52</v>
      </c>
      <c r="J342">
        <v>15</v>
      </c>
      <c r="K342">
        <v>391.6</v>
      </c>
      <c r="L342">
        <v>4234.84</v>
      </c>
      <c r="M342">
        <f>Table1[[#This Row],[Quantity Sold]]*Table1[[#This Row],[Unit Price]]</f>
        <v>5874</v>
      </c>
      <c r="N342">
        <f>Table1[[#This Row],[Sales Amount]]-Table1[[#This Row],[Cost Amount]]</f>
        <v>1639.1599999999999</v>
      </c>
      <c r="O342" t="str">
        <f>"Q"&amp;ROUNDUP(MONTH(Table1[[#This Row],[Order Date]])/3,0)</f>
        <v>Q4</v>
      </c>
      <c r="P342" t="str">
        <f>TEXT(Table1[[#This Row],[Order Date]],"MMM")</f>
        <v>Nov</v>
      </c>
      <c r="Q342">
        <f>MONTH(Table1[[#This Row],[Order Date]])</f>
        <v>11</v>
      </c>
    </row>
    <row r="343" spans="1:17" x14ac:dyDescent="0.25">
      <c r="A343" t="s">
        <v>743</v>
      </c>
      <c r="B343" s="2">
        <v>46115</v>
      </c>
      <c r="C343">
        <v>2026</v>
      </c>
      <c r="D343" t="s">
        <v>337</v>
      </c>
      <c r="E343" t="s">
        <v>744</v>
      </c>
      <c r="F343" t="s">
        <v>20</v>
      </c>
      <c r="G343" t="s">
        <v>21</v>
      </c>
      <c r="H343" t="s">
        <v>22</v>
      </c>
      <c r="I343" t="s">
        <v>23</v>
      </c>
      <c r="J343">
        <v>18</v>
      </c>
      <c r="K343">
        <v>231.04</v>
      </c>
      <c r="L343">
        <v>3119.07</v>
      </c>
      <c r="M343">
        <f>Table1[[#This Row],[Quantity Sold]]*Table1[[#This Row],[Unit Price]]</f>
        <v>4158.72</v>
      </c>
      <c r="N343">
        <f>Table1[[#This Row],[Sales Amount]]-Table1[[#This Row],[Cost Amount]]</f>
        <v>1039.6500000000001</v>
      </c>
      <c r="O343" t="str">
        <f>"Q"&amp;ROUNDUP(MONTH(Table1[[#This Row],[Order Date]])/3,0)</f>
        <v>Q2</v>
      </c>
      <c r="P343" t="str">
        <f>TEXT(Table1[[#This Row],[Order Date]],"MMM")</f>
        <v>Apr</v>
      </c>
      <c r="Q343">
        <f>MONTH(Table1[[#This Row],[Order Date]])</f>
        <v>4</v>
      </c>
    </row>
    <row r="344" spans="1:17" x14ac:dyDescent="0.25">
      <c r="A344" t="s">
        <v>745</v>
      </c>
      <c r="B344" s="2">
        <v>46107</v>
      </c>
      <c r="C344">
        <v>2026</v>
      </c>
      <c r="D344" t="s">
        <v>299</v>
      </c>
      <c r="E344" t="s">
        <v>94</v>
      </c>
      <c r="F344" t="s">
        <v>123</v>
      </c>
      <c r="G344" t="s">
        <v>124</v>
      </c>
      <c r="H344" t="s">
        <v>41</v>
      </c>
      <c r="I344" t="s">
        <v>23</v>
      </c>
      <c r="J344">
        <v>11</v>
      </c>
      <c r="K344">
        <v>235.87</v>
      </c>
      <c r="L344">
        <v>1749.93</v>
      </c>
      <c r="M344">
        <f>Table1[[#This Row],[Quantity Sold]]*Table1[[#This Row],[Unit Price]]</f>
        <v>2594.5700000000002</v>
      </c>
      <c r="N344">
        <f>Table1[[#This Row],[Sales Amount]]-Table1[[#This Row],[Cost Amount]]</f>
        <v>844.6400000000001</v>
      </c>
      <c r="O344" t="str">
        <f>"Q"&amp;ROUNDUP(MONTH(Table1[[#This Row],[Order Date]])/3,0)</f>
        <v>Q1</v>
      </c>
      <c r="P344" t="str">
        <f>TEXT(Table1[[#This Row],[Order Date]],"MMM")</f>
        <v>Mar</v>
      </c>
      <c r="Q344">
        <f>MONTH(Table1[[#This Row],[Order Date]])</f>
        <v>3</v>
      </c>
    </row>
    <row r="345" spans="1:17" x14ac:dyDescent="0.25">
      <c r="A345" t="s">
        <v>746</v>
      </c>
      <c r="B345" s="2">
        <v>46237</v>
      </c>
      <c r="C345">
        <v>2026</v>
      </c>
      <c r="D345" t="s">
        <v>81</v>
      </c>
      <c r="E345" t="s">
        <v>661</v>
      </c>
      <c r="F345" t="s">
        <v>249</v>
      </c>
      <c r="G345" t="s">
        <v>250</v>
      </c>
      <c r="H345" t="s">
        <v>51</v>
      </c>
      <c r="I345" t="s">
        <v>29</v>
      </c>
      <c r="J345">
        <v>15</v>
      </c>
      <c r="K345">
        <v>256.43</v>
      </c>
      <c r="L345">
        <v>3201.67</v>
      </c>
      <c r="M345">
        <f>Table1[[#This Row],[Quantity Sold]]*Table1[[#This Row],[Unit Price]]</f>
        <v>3846.4500000000003</v>
      </c>
      <c r="N345">
        <f>Table1[[#This Row],[Sales Amount]]-Table1[[#This Row],[Cost Amount]]</f>
        <v>644.7800000000002</v>
      </c>
      <c r="O345" t="str">
        <f>"Q"&amp;ROUNDUP(MONTH(Table1[[#This Row],[Order Date]])/3,0)</f>
        <v>Q3</v>
      </c>
      <c r="P345" t="str">
        <f>TEXT(Table1[[#This Row],[Order Date]],"MMM")</f>
        <v>Aug</v>
      </c>
      <c r="Q345">
        <f>MONTH(Table1[[#This Row],[Order Date]])</f>
        <v>8</v>
      </c>
    </row>
    <row r="346" spans="1:17" x14ac:dyDescent="0.25">
      <c r="A346" t="s">
        <v>747</v>
      </c>
      <c r="B346" s="2">
        <v>46137</v>
      </c>
      <c r="C346">
        <v>2026</v>
      </c>
      <c r="D346" t="s">
        <v>180</v>
      </c>
      <c r="E346" t="s">
        <v>748</v>
      </c>
      <c r="F346" t="s">
        <v>106</v>
      </c>
      <c r="G346" t="s">
        <v>107</v>
      </c>
      <c r="H346" t="s">
        <v>35</v>
      </c>
      <c r="I346" t="s">
        <v>23</v>
      </c>
      <c r="J346">
        <v>17</v>
      </c>
      <c r="K346">
        <v>457.85</v>
      </c>
      <c r="L346">
        <v>5670.66</v>
      </c>
      <c r="M346">
        <f>Table1[[#This Row],[Quantity Sold]]*Table1[[#This Row],[Unit Price]]</f>
        <v>7783.4500000000007</v>
      </c>
      <c r="N346">
        <f>Table1[[#This Row],[Sales Amount]]-Table1[[#This Row],[Cost Amount]]</f>
        <v>2112.7900000000009</v>
      </c>
      <c r="O346" t="str">
        <f>"Q"&amp;ROUNDUP(MONTH(Table1[[#This Row],[Order Date]])/3,0)</f>
        <v>Q2</v>
      </c>
      <c r="P346" t="str">
        <f>TEXT(Table1[[#This Row],[Order Date]],"MMM")</f>
        <v>Apr</v>
      </c>
      <c r="Q346">
        <f>MONTH(Table1[[#This Row],[Order Date]])</f>
        <v>4</v>
      </c>
    </row>
    <row r="347" spans="1:17" x14ac:dyDescent="0.25">
      <c r="A347" t="s">
        <v>749</v>
      </c>
      <c r="B347" s="2">
        <v>46081</v>
      </c>
      <c r="C347">
        <v>2026</v>
      </c>
      <c r="D347" t="s">
        <v>750</v>
      </c>
      <c r="E347" t="s">
        <v>119</v>
      </c>
      <c r="F347" t="s">
        <v>293</v>
      </c>
      <c r="G347" t="s">
        <v>294</v>
      </c>
      <c r="H347" t="s">
        <v>68</v>
      </c>
      <c r="I347" t="s">
        <v>52</v>
      </c>
      <c r="J347">
        <v>1</v>
      </c>
      <c r="K347">
        <v>272.36</v>
      </c>
      <c r="L347">
        <v>157.91</v>
      </c>
      <c r="M347">
        <f>Table1[[#This Row],[Quantity Sold]]*Table1[[#This Row],[Unit Price]]</f>
        <v>272.36</v>
      </c>
      <c r="N347">
        <f>Table1[[#This Row],[Sales Amount]]-Table1[[#This Row],[Cost Amount]]</f>
        <v>114.45000000000002</v>
      </c>
      <c r="O347" t="str">
        <f>"Q"&amp;ROUNDUP(MONTH(Table1[[#This Row],[Order Date]])/3,0)</f>
        <v>Q1</v>
      </c>
      <c r="P347" t="str">
        <f>TEXT(Table1[[#This Row],[Order Date]],"MMM")</f>
        <v>Feb</v>
      </c>
      <c r="Q347">
        <f>MONTH(Table1[[#This Row],[Order Date]])</f>
        <v>2</v>
      </c>
    </row>
    <row r="348" spans="1:17" x14ac:dyDescent="0.25">
      <c r="A348" t="s">
        <v>751</v>
      </c>
      <c r="B348" s="2">
        <v>46291</v>
      </c>
      <c r="C348">
        <v>2026</v>
      </c>
      <c r="D348" t="s">
        <v>260</v>
      </c>
      <c r="E348" t="s">
        <v>423</v>
      </c>
      <c r="F348" t="s">
        <v>323</v>
      </c>
      <c r="G348" t="s">
        <v>324</v>
      </c>
      <c r="H348" t="s">
        <v>68</v>
      </c>
      <c r="I348" t="s">
        <v>42</v>
      </c>
      <c r="J348">
        <v>1</v>
      </c>
      <c r="K348">
        <v>178.16</v>
      </c>
      <c r="L348">
        <v>96.75</v>
      </c>
      <c r="M348">
        <f>Table1[[#This Row],[Quantity Sold]]*Table1[[#This Row],[Unit Price]]</f>
        <v>178.16</v>
      </c>
      <c r="N348">
        <f>Table1[[#This Row],[Sales Amount]]-Table1[[#This Row],[Cost Amount]]</f>
        <v>81.41</v>
      </c>
      <c r="O348" t="str">
        <f>"Q"&amp;ROUNDUP(MONTH(Table1[[#This Row],[Order Date]])/3,0)</f>
        <v>Q3</v>
      </c>
      <c r="P348" t="str">
        <f>TEXT(Table1[[#This Row],[Order Date]],"MMM")</f>
        <v>Sep</v>
      </c>
      <c r="Q348">
        <f>MONTH(Table1[[#This Row],[Order Date]])</f>
        <v>9</v>
      </c>
    </row>
    <row r="349" spans="1:17" x14ac:dyDescent="0.25">
      <c r="A349" t="s">
        <v>752</v>
      </c>
      <c r="B349" s="2">
        <v>46133</v>
      </c>
      <c r="C349">
        <v>2026</v>
      </c>
      <c r="D349" t="s">
        <v>180</v>
      </c>
      <c r="E349" t="s">
        <v>465</v>
      </c>
      <c r="F349" t="s">
        <v>424</v>
      </c>
      <c r="G349" t="s">
        <v>425</v>
      </c>
      <c r="H349" t="s">
        <v>41</v>
      </c>
      <c r="I349" t="s">
        <v>23</v>
      </c>
      <c r="J349">
        <v>13</v>
      </c>
      <c r="K349">
        <v>191.28</v>
      </c>
      <c r="L349">
        <v>1634.68</v>
      </c>
      <c r="M349">
        <f>Table1[[#This Row],[Quantity Sold]]*Table1[[#This Row],[Unit Price]]</f>
        <v>2486.64</v>
      </c>
      <c r="N349">
        <f>Table1[[#This Row],[Sales Amount]]-Table1[[#This Row],[Cost Amount]]</f>
        <v>851.95999999999981</v>
      </c>
      <c r="O349" t="str">
        <f>"Q"&amp;ROUNDUP(MONTH(Table1[[#This Row],[Order Date]])/3,0)</f>
        <v>Q2</v>
      </c>
      <c r="P349" t="str">
        <f>TEXT(Table1[[#This Row],[Order Date]],"MMM")</f>
        <v>Apr</v>
      </c>
      <c r="Q349">
        <f>MONTH(Table1[[#This Row],[Order Date]])</f>
        <v>4</v>
      </c>
    </row>
    <row r="350" spans="1:17" x14ac:dyDescent="0.25">
      <c r="A350" t="s">
        <v>753</v>
      </c>
      <c r="B350" s="2">
        <v>46158</v>
      </c>
      <c r="C350">
        <v>2026</v>
      </c>
      <c r="D350" t="s">
        <v>75</v>
      </c>
      <c r="E350" t="s">
        <v>628</v>
      </c>
      <c r="F350" t="s">
        <v>39</v>
      </c>
      <c r="G350" t="s">
        <v>40</v>
      </c>
      <c r="H350" t="s">
        <v>41</v>
      </c>
      <c r="I350" t="s">
        <v>42</v>
      </c>
      <c r="J350">
        <v>8</v>
      </c>
      <c r="K350">
        <v>293.33999999999997</v>
      </c>
      <c r="L350">
        <v>1791.73</v>
      </c>
      <c r="M350">
        <f>Table1[[#This Row],[Quantity Sold]]*Table1[[#This Row],[Unit Price]]</f>
        <v>2346.7199999999998</v>
      </c>
      <c r="N350">
        <f>Table1[[#This Row],[Sales Amount]]-Table1[[#This Row],[Cost Amount]]</f>
        <v>554.98999999999978</v>
      </c>
      <c r="O350" t="str">
        <f>"Q"&amp;ROUNDUP(MONTH(Table1[[#This Row],[Order Date]])/3,0)</f>
        <v>Q2</v>
      </c>
      <c r="P350" t="str">
        <f>TEXT(Table1[[#This Row],[Order Date]],"MMM")</f>
        <v>May</v>
      </c>
      <c r="Q350">
        <f>MONTH(Table1[[#This Row],[Order Date]])</f>
        <v>5</v>
      </c>
    </row>
    <row r="351" spans="1:17" x14ac:dyDescent="0.25">
      <c r="A351" t="s">
        <v>754</v>
      </c>
      <c r="B351" s="2">
        <v>46163</v>
      </c>
      <c r="C351">
        <v>2026</v>
      </c>
      <c r="D351" t="s">
        <v>472</v>
      </c>
      <c r="E351" t="s">
        <v>289</v>
      </c>
      <c r="F351" t="s">
        <v>440</v>
      </c>
      <c r="G351" t="s">
        <v>441</v>
      </c>
      <c r="H351" t="s">
        <v>97</v>
      </c>
      <c r="I351" t="s">
        <v>29</v>
      </c>
      <c r="J351">
        <v>18</v>
      </c>
      <c r="K351">
        <v>380.07</v>
      </c>
      <c r="L351">
        <v>4777.1000000000004</v>
      </c>
      <c r="M351">
        <f>Table1[[#This Row],[Quantity Sold]]*Table1[[#This Row],[Unit Price]]</f>
        <v>6841.26</v>
      </c>
      <c r="N351">
        <f>Table1[[#This Row],[Sales Amount]]-Table1[[#This Row],[Cost Amount]]</f>
        <v>2064.16</v>
      </c>
      <c r="O351" t="str">
        <f>"Q"&amp;ROUNDUP(MONTH(Table1[[#This Row],[Order Date]])/3,0)</f>
        <v>Q2</v>
      </c>
      <c r="P351" t="str">
        <f>TEXT(Table1[[#This Row],[Order Date]],"MMM")</f>
        <v>May</v>
      </c>
      <c r="Q351">
        <f>MONTH(Table1[[#This Row],[Order Date]])</f>
        <v>5</v>
      </c>
    </row>
    <row r="352" spans="1:17" x14ac:dyDescent="0.25">
      <c r="A352" t="s">
        <v>755</v>
      </c>
      <c r="B352" s="2">
        <v>46361</v>
      </c>
      <c r="C352">
        <v>2026</v>
      </c>
      <c r="D352" t="s">
        <v>404</v>
      </c>
      <c r="E352" t="s">
        <v>756</v>
      </c>
      <c r="F352" t="s">
        <v>61</v>
      </c>
      <c r="G352" t="s">
        <v>62</v>
      </c>
      <c r="H352" t="s">
        <v>22</v>
      </c>
      <c r="I352" t="s">
        <v>23</v>
      </c>
      <c r="J352">
        <v>6</v>
      </c>
      <c r="K352">
        <v>81.86</v>
      </c>
      <c r="L352">
        <v>306.73</v>
      </c>
      <c r="M352">
        <f>Table1[[#This Row],[Quantity Sold]]*Table1[[#This Row],[Unit Price]]</f>
        <v>491.15999999999997</v>
      </c>
      <c r="N352">
        <f>Table1[[#This Row],[Sales Amount]]-Table1[[#This Row],[Cost Amount]]</f>
        <v>184.42999999999995</v>
      </c>
      <c r="O352" t="str">
        <f>"Q"&amp;ROUNDUP(MONTH(Table1[[#This Row],[Order Date]])/3,0)</f>
        <v>Q4</v>
      </c>
      <c r="P352" t="str">
        <f>TEXT(Table1[[#This Row],[Order Date]],"MMM")</f>
        <v>Dec</v>
      </c>
      <c r="Q352">
        <f>MONTH(Table1[[#This Row],[Order Date]])</f>
        <v>12</v>
      </c>
    </row>
    <row r="353" spans="1:17" x14ac:dyDescent="0.25">
      <c r="A353" t="s">
        <v>757</v>
      </c>
      <c r="B353" s="2">
        <v>46348</v>
      </c>
      <c r="C353">
        <v>2026</v>
      </c>
      <c r="D353" t="s">
        <v>244</v>
      </c>
      <c r="E353" t="s">
        <v>453</v>
      </c>
      <c r="F353" t="s">
        <v>20</v>
      </c>
      <c r="G353" t="s">
        <v>21</v>
      </c>
      <c r="H353" t="s">
        <v>22</v>
      </c>
      <c r="I353" t="s">
        <v>42</v>
      </c>
      <c r="J353">
        <v>15</v>
      </c>
      <c r="K353">
        <v>177.75</v>
      </c>
      <c r="L353">
        <v>1769.54</v>
      </c>
      <c r="M353">
        <f>Table1[[#This Row],[Quantity Sold]]*Table1[[#This Row],[Unit Price]]</f>
        <v>2666.25</v>
      </c>
      <c r="N353">
        <f>Table1[[#This Row],[Sales Amount]]-Table1[[#This Row],[Cost Amount]]</f>
        <v>896.71</v>
      </c>
      <c r="O353" t="str">
        <f>"Q"&amp;ROUNDUP(MONTH(Table1[[#This Row],[Order Date]])/3,0)</f>
        <v>Q4</v>
      </c>
      <c r="P353" t="str">
        <f>TEXT(Table1[[#This Row],[Order Date]],"MMM")</f>
        <v>Nov</v>
      </c>
      <c r="Q353">
        <f>MONTH(Table1[[#This Row],[Order Date]])</f>
        <v>11</v>
      </c>
    </row>
    <row r="354" spans="1:17" x14ac:dyDescent="0.25">
      <c r="A354" t="s">
        <v>758</v>
      </c>
      <c r="B354" s="2">
        <v>46230</v>
      </c>
      <c r="C354">
        <v>2026</v>
      </c>
      <c r="D354" t="s">
        <v>459</v>
      </c>
      <c r="E354" t="s">
        <v>308</v>
      </c>
      <c r="F354" t="s">
        <v>229</v>
      </c>
      <c r="G354" t="s">
        <v>230</v>
      </c>
      <c r="H354" t="s">
        <v>35</v>
      </c>
      <c r="I354" t="s">
        <v>52</v>
      </c>
      <c r="J354">
        <v>14</v>
      </c>
      <c r="K354">
        <v>468.71</v>
      </c>
      <c r="L354">
        <v>4203.43</v>
      </c>
      <c r="M354">
        <f>Table1[[#This Row],[Quantity Sold]]*Table1[[#This Row],[Unit Price]]</f>
        <v>6561.94</v>
      </c>
      <c r="N354">
        <f>Table1[[#This Row],[Sales Amount]]-Table1[[#This Row],[Cost Amount]]</f>
        <v>2358.5099999999993</v>
      </c>
      <c r="O354" t="str">
        <f>"Q"&amp;ROUNDUP(MONTH(Table1[[#This Row],[Order Date]])/3,0)</f>
        <v>Q3</v>
      </c>
      <c r="P354" t="str">
        <f>TEXT(Table1[[#This Row],[Order Date]],"MMM")</f>
        <v>Jul</v>
      </c>
      <c r="Q354">
        <f>MONTH(Table1[[#This Row],[Order Date]])</f>
        <v>7</v>
      </c>
    </row>
    <row r="355" spans="1:17" x14ac:dyDescent="0.25">
      <c r="A355" t="s">
        <v>759</v>
      </c>
      <c r="B355" s="2">
        <v>46296</v>
      </c>
      <c r="C355">
        <v>2026</v>
      </c>
      <c r="D355" t="s">
        <v>637</v>
      </c>
      <c r="E355" t="s">
        <v>473</v>
      </c>
      <c r="F355" t="s">
        <v>323</v>
      </c>
      <c r="G355" t="s">
        <v>324</v>
      </c>
      <c r="H355" t="s">
        <v>68</v>
      </c>
      <c r="I355" t="s">
        <v>52</v>
      </c>
      <c r="J355">
        <v>3</v>
      </c>
      <c r="K355">
        <v>486.92</v>
      </c>
      <c r="L355">
        <v>977.67</v>
      </c>
      <c r="M355">
        <f>Table1[[#This Row],[Quantity Sold]]*Table1[[#This Row],[Unit Price]]</f>
        <v>1460.76</v>
      </c>
      <c r="N355">
        <f>Table1[[#This Row],[Sales Amount]]-Table1[[#This Row],[Cost Amount]]</f>
        <v>483.09000000000003</v>
      </c>
      <c r="O355" t="str">
        <f>"Q"&amp;ROUNDUP(MONTH(Table1[[#This Row],[Order Date]])/3,0)</f>
        <v>Q4</v>
      </c>
      <c r="P355" t="str">
        <f>TEXT(Table1[[#This Row],[Order Date]],"MMM")</f>
        <v>Oct</v>
      </c>
      <c r="Q355">
        <f>MONTH(Table1[[#This Row],[Order Date]])</f>
        <v>10</v>
      </c>
    </row>
    <row r="356" spans="1:17" x14ac:dyDescent="0.25">
      <c r="A356" t="s">
        <v>760</v>
      </c>
      <c r="B356" s="2">
        <v>46170</v>
      </c>
      <c r="C356">
        <v>2026</v>
      </c>
      <c r="D356" t="s">
        <v>244</v>
      </c>
      <c r="E356" t="s">
        <v>116</v>
      </c>
      <c r="F356" t="s">
        <v>186</v>
      </c>
      <c r="G356" t="s">
        <v>187</v>
      </c>
      <c r="H356" t="s">
        <v>97</v>
      </c>
      <c r="I356" t="s">
        <v>42</v>
      </c>
      <c r="J356">
        <v>3</v>
      </c>
      <c r="K356">
        <v>262.91000000000003</v>
      </c>
      <c r="L356">
        <v>448.83</v>
      </c>
      <c r="M356">
        <f>Table1[[#This Row],[Quantity Sold]]*Table1[[#This Row],[Unit Price]]</f>
        <v>788.73</v>
      </c>
      <c r="N356">
        <f>Table1[[#This Row],[Sales Amount]]-Table1[[#This Row],[Cost Amount]]</f>
        <v>339.90000000000003</v>
      </c>
      <c r="O356" t="str">
        <f>"Q"&amp;ROUNDUP(MONTH(Table1[[#This Row],[Order Date]])/3,0)</f>
        <v>Q2</v>
      </c>
      <c r="P356" t="str">
        <f>TEXT(Table1[[#This Row],[Order Date]],"MMM")</f>
        <v>May</v>
      </c>
      <c r="Q356">
        <f>MONTH(Table1[[#This Row],[Order Date]])</f>
        <v>5</v>
      </c>
    </row>
    <row r="357" spans="1:17" x14ac:dyDescent="0.25">
      <c r="A357" t="s">
        <v>761</v>
      </c>
      <c r="B357" s="2">
        <v>46103</v>
      </c>
      <c r="C357">
        <v>2026</v>
      </c>
      <c r="D357" t="s">
        <v>572</v>
      </c>
      <c r="E357" t="s">
        <v>762</v>
      </c>
      <c r="F357" t="s">
        <v>241</v>
      </c>
      <c r="G357" t="s">
        <v>242</v>
      </c>
      <c r="H357" t="s">
        <v>35</v>
      </c>
      <c r="I357" t="s">
        <v>52</v>
      </c>
      <c r="J357">
        <v>9</v>
      </c>
      <c r="K357">
        <v>275.76</v>
      </c>
      <c r="L357">
        <v>1425.27</v>
      </c>
      <c r="M357">
        <f>Table1[[#This Row],[Quantity Sold]]*Table1[[#This Row],[Unit Price]]</f>
        <v>2481.84</v>
      </c>
      <c r="N357">
        <f>Table1[[#This Row],[Sales Amount]]-Table1[[#This Row],[Cost Amount]]</f>
        <v>1056.5700000000002</v>
      </c>
      <c r="O357" t="str">
        <f>"Q"&amp;ROUNDUP(MONTH(Table1[[#This Row],[Order Date]])/3,0)</f>
        <v>Q1</v>
      </c>
      <c r="P357" t="str">
        <f>TEXT(Table1[[#This Row],[Order Date]],"MMM")</f>
        <v>Mar</v>
      </c>
      <c r="Q357">
        <f>MONTH(Table1[[#This Row],[Order Date]])</f>
        <v>3</v>
      </c>
    </row>
    <row r="358" spans="1:17" x14ac:dyDescent="0.25">
      <c r="A358" t="s">
        <v>763</v>
      </c>
      <c r="B358" s="2">
        <v>46039</v>
      </c>
      <c r="C358">
        <v>2026</v>
      </c>
      <c r="D358" t="s">
        <v>265</v>
      </c>
      <c r="E358" t="s">
        <v>731</v>
      </c>
      <c r="F358" t="s">
        <v>249</v>
      </c>
      <c r="G358" t="s">
        <v>250</v>
      </c>
      <c r="H358" t="s">
        <v>51</v>
      </c>
      <c r="I358" t="s">
        <v>52</v>
      </c>
      <c r="J358">
        <v>20</v>
      </c>
      <c r="K358">
        <v>264.44</v>
      </c>
      <c r="L358">
        <v>3788.33</v>
      </c>
      <c r="M358">
        <f>Table1[[#This Row],[Quantity Sold]]*Table1[[#This Row],[Unit Price]]</f>
        <v>5288.8</v>
      </c>
      <c r="N358">
        <f>Table1[[#This Row],[Sales Amount]]-Table1[[#This Row],[Cost Amount]]</f>
        <v>1500.4700000000003</v>
      </c>
      <c r="O358" t="str">
        <f>"Q"&amp;ROUNDUP(MONTH(Table1[[#This Row],[Order Date]])/3,0)</f>
        <v>Q1</v>
      </c>
      <c r="P358" t="str">
        <f>TEXT(Table1[[#This Row],[Order Date]],"MMM")</f>
        <v>Jan</v>
      </c>
      <c r="Q358">
        <f>MONTH(Table1[[#This Row],[Order Date]])</f>
        <v>1</v>
      </c>
    </row>
    <row r="359" spans="1:17" x14ac:dyDescent="0.25">
      <c r="A359" t="s">
        <v>764</v>
      </c>
      <c r="B359" s="2">
        <v>46048</v>
      </c>
      <c r="C359">
        <v>2026</v>
      </c>
      <c r="D359" t="s">
        <v>660</v>
      </c>
      <c r="E359" t="s">
        <v>477</v>
      </c>
      <c r="F359" t="s">
        <v>134</v>
      </c>
      <c r="G359" t="s">
        <v>135</v>
      </c>
      <c r="H359" t="s">
        <v>22</v>
      </c>
      <c r="I359" t="s">
        <v>29</v>
      </c>
      <c r="J359">
        <v>13</v>
      </c>
      <c r="K359">
        <v>146.93</v>
      </c>
      <c r="L359">
        <v>1117.3</v>
      </c>
      <c r="M359">
        <f>Table1[[#This Row],[Quantity Sold]]*Table1[[#This Row],[Unit Price]]</f>
        <v>1910.0900000000001</v>
      </c>
      <c r="N359">
        <f>Table1[[#This Row],[Sales Amount]]-Table1[[#This Row],[Cost Amount]]</f>
        <v>792.79000000000019</v>
      </c>
      <c r="O359" t="str">
        <f>"Q"&amp;ROUNDUP(MONTH(Table1[[#This Row],[Order Date]])/3,0)</f>
        <v>Q1</v>
      </c>
      <c r="P359" t="str">
        <f>TEXT(Table1[[#This Row],[Order Date]],"MMM")</f>
        <v>Jan</v>
      </c>
      <c r="Q359">
        <f>MONTH(Table1[[#This Row],[Order Date]])</f>
        <v>1</v>
      </c>
    </row>
    <row r="360" spans="1:17" x14ac:dyDescent="0.25">
      <c r="A360" t="s">
        <v>765</v>
      </c>
      <c r="B360" s="2">
        <v>46282</v>
      </c>
      <c r="C360">
        <v>2026</v>
      </c>
      <c r="D360" t="s">
        <v>44</v>
      </c>
      <c r="E360" t="s">
        <v>327</v>
      </c>
      <c r="F360" t="s">
        <v>241</v>
      </c>
      <c r="G360" t="s">
        <v>242</v>
      </c>
      <c r="H360" t="s">
        <v>35</v>
      </c>
      <c r="I360" t="s">
        <v>42</v>
      </c>
      <c r="J360">
        <v>7</v>
      </c>
      <c r="K360">
        <v>250.67</v>
      </c>
      <c r="L360">
        <v>1022.28</v>
      </c>
      <c r="M360">
        <f>Table1[[#This Row],[Quantity Sold]]*Table1[[#This Row],[Unit Price]]</f>
        <v>1754.6899999999998</v>
      </c>
      <c r="N360">
        <f>Table1[[#This Row],[Sales Amount]]-Table1[[#This Row],[Cost Amount]]</f>
        <v>732.40999999999985</v>
      </c>
      <c r="O360" t="str">
        <f>"Q"&amp;ROUNDUP(MONTH(Table1[[#This Row],[Order Date]])/3,0)</f>
        <v>Q3</v>
      </c>
      <c r="P360" t="str">
        <f>TEXT(Table1[[#This Row],[Order Date]],"MMM")</f>
        <v>Sep</v>
      </c>
      <c r="Q360">
        <f>MONTH(Table1[[#This Row],[Order Date]])</f>
        <v>9</v>
      </c>
    </row>
    <row r="361" spans="1:17" x14ac:dyDescent="0.25">
      <c r="A361" t="s">
        <v>766</v>
      </c>
      <c r="B361" s="2">
        <v>46187</v>
      </c>
      <c r="C361">
        <v>2026</v>
      </c>
      <c r="D361" t="s">
        <v>706</v>
      </c>
      <c r="E361" t="s">
        <v>615</v>
      </c>
      <c r="F361" t="s">
        <v>39</v>
      </c>
      <c r="G361" t="s">
        <v>40</v>
      </c>
      <c r="H361" t="s">
        <v>41</v>
      </c>
      <c r="I361" t="s">
        <v>42</v>
      </c>
      <c r="J361">
        <v>8</v>
      </c>
      <c r="K361">
        <v>137.77000000000001</v>
      </c>
      <c r="L361">
        <v>865.42</v>
      </c>
      <c r="M361">
        <f>Table1[[#This Row],[Quantity Sold]]*Table1[[#This Row],[Unit Price]]</f>
        <v>1102.1600000000001</v>
      </c>
      <c r="N361">
        <f>Table1[[#This Row],[Sales Amount]]-Table1[[#This Row],[Cost Amount]]</f>
        <v>236.74000000000012</v>
      </c>
      <c r="O361" t="str">
        <f>"Q"&amp;ROUNDUP(MONTH(Table1[[#This Row],[Order Date]])/3,0)</f>
        <v>Q2</v>
      </c>
      <c r="P361" t="str">
        <f>TEXT(Table1[[#This Row],[Order Date]],"MMM")</f>
        <v>Jun</v>
      </c>
      <c r="Q361">
        <f>MONTH(Table1[[#This Row],[Order Date]])</f>
        <v>6</v>
      </c>
    </row>
    <row r="362" spans="1:17" x14ac:dyDescent="0.25">
      <c r="A362" t="s">
        <v>767</v>
      </c>
      <c r="B362" s="2">
        <v>46242</v>
      </c>
      <c r="C362">
        <v>2026</v>
      </c>
      <c r="D362" t="s">
        <v>203</v>
      </c>
      <c r="E362" t="s">
        <v>176</v>
      </c>
      <c r="F362" t="s">
        <v>56</v>
      </c>
      <c r="G362" t="s">
        <v>57</v>
      </c>
      <c r="H362" t="s">
        <v>51</v>
      </c>
      <c r="I362" t="s">
        <v>42</v>
      </c>
      <c r="J362">
        <v>17</v>
      </c>
      <c r="K362">
        <v>227.68</v>
      </c>
      <c r="L362">
        <v>2534.66</v>
      </c>
      <c r="M362">
        <f>Table1[[#This Row],[Quantity Sold]]*Table1[[#This Row],[Unit Price]]</f>
        <v>3870.56</v>
      </c>
      <c r="N362">
        <f>Table1[[#This Row],[Sales Amount]]-Table1[[#This Row],[Cost Amount]]</f>
        <v>1335.9</v>
      </c>
      <c r="O362" t="str">
        <f>"Q"&amp;ROUNDUP(MONTH(Table1[[#This Row],[Order Date]])/3,0)</f>
        <v>Q3</v>
      </c>
      <c r="P362" t="str">
        <f>TEXT(Table1[[#This Row],[Order Date]],"MMM")</f>
        <v>Aug</v>
      </c>
      <c r="Q362">
        <f>MONTH(Table1[[#This Row],[Order Date]])</f>
        <v>8</v>
      </c>
    </row>
    <row r="363" spans="1:17" x14ac:dyDescent="0.25">
      <c r="A363" t="s">
        <v>768</v>
      </c>
      <c r="B363" s="2">
        <v>46345</v>
      </c>
      <c r="C363">
        <v>2026</v>
      </c>
      <c r="D363" t="s">
        <v>467</v>
      </c>
      <c r="E363" t="s">
        <v>435</v>
      </c>
      <c r="F363" t="s">
        <v>293</v>
      </c>
      <c r="G363" t="s">
        <v>294</v>
      </c>
      <c r="H363" t="s">
        <v>68</v>
      </c>
      <c r="I363" t="s">
        <v>29</v>
      </c>
      <c r="J363">
        <v>14</v>
      </c>
      <c r="K363">
        <v>225.63</v>
      </c>
      <c r="L363">
        <v>2276.58</v>
      </c>
      <c r="M363">
        <f>Table1[[#This Row],[Quantity Sold]]*Table1[[#This Row],[Unit Price]]</f>
        <v>3158.8199999999997</v>
      </c>
      <c r="N363">
        <f>Table1[[#This Row],[Sales Amount]]-Table1[[#This Row],[Cost Amount]]</f>
        <v>882.23999999999978</v>
      </c>
      <c r="O363" t="str">
        <f>"Q"&amp;ROUNDUP(MONTH(Table1[[#This Row],[Order Date]])/3,0)</f>
        <v>Q4</v>
      </c>
      <c r="P363" t="str">
        <f>TEXT(Table1[[#This Row],[Order Date]],"MMM")</f>
        <v>Nov</v>
      </c>
      <c r="Q363">
        <f>MONTH(Table1[[#This Row],[Order Date]])</f>
        <v>11</v>
      </c>
    </row>
    <row r="364" spans="1:17" x14ac:dyDescent="0.25">
      <c r="A364" t="s">
        <v>769</v>
      </c>
      <c r="B364" s="2">
        <v>46055</v>
      </c>
      <c r="C364">
        <v>2026</v>
      </c>
      <c r="D364" t="s">
        <v>147</v>
      </c>
      <c r="E364" t="s">
        <v>228</v>
      </c>
      <c r="F364" t="s">
        <v>169</v>
      </c>
      <c r="G364" t="s">
        <v>170</v>
      </c>
      <c r="H364" t="s">
        <v>22</v>
      </c>
      <c r="I364" t="s">
        <v>42</v>
      </c>
      <c r="J364">
        <v>10</v>
      </c>
      <c r="K364">
        <v>117.79</v>
      </c>
      <c r="L364">
        <v>835.09</v>
      </c>
      <c r="M364">
        <f>Table1[[#This Row],[Quantity Sold]]*Table1[[#This Row],[Unit Price]]</f>
        <v>1177.9000000000001</v>
      </c>
      <c r="N364">
        <f>Table1[[#This Row],[Sales Amount]]-Table1[[#This Row],[Cost Amount]]</f>
        <v>342.81000000000006</v>
      </c>
      <c r="O364" t="str">
        <f>"Q"&amp;ROUNDUP(MONTH(Table1[[#This Row],[Order Date]])/3,0)</f>
        <v>Q1</v>
      </c>
      <c r="P364" t="str">
        <f>TEXT(Table1[[#This Row],[Order Date]],"MMM")</f>
        <v>Feb</v>
      </c>
      <c r="Q364">
        <f>MONTH(Table1[[#This Row],[Order Date]])</f>
        <v>2</v>
      </c>
    </row>
    <row r="365" spans="1:17" x14ac:dyDescent="0.25">
      <c r="A365" t="s">
        <v>770</v>
      </c>
      <c r="B365" s="2">
        <v>46165</v>
      </c>
      <c r="C365">
        <v>2026</v>
      </c>
      <c r="D365" t="s">
        <v>421</v>
      </c>
      <c r="E365" t="s">
        <v>158</v>
      </c>
      <c r="F365" t="s">
        <v>181</v>
      </c>
      <c r="G365" t="s">
        <v>182</v>
      </c>
      <c r="H365" t="s">
        <v>51</v>
      </c>
      <c r="I365" t="s">
        <v>52</v>
      </c>
      <c r="J365">
        <v>20</v>
      </c>
      <c r="K365">
        <v>461.39</v>
      </c>
      <c r="L365">
        <v>6447.22</v>
      </c>
      <c r="M365">
        <f>Table1[[#This Row],[Quantity Sold]]*Table1[[#This Row],[Unit Price]]</f>
        <v>9227.7999999999993</v>
      </c>
      <c r="N365">
        <f>Table1[[#This Row],[Sales Amount]]-Table1[[#This Row],[Cost Amount]]</f>
        <v>2780.579999999999</v>
      </c>
      <c r="O365" t="str">
        <f>"Q"&amp;ROUNDUP(MONTH(Table1[[#This Row],[Order Date]])/3,0)</f>
        <v>Q2</v>
      </c>
      <c r="P365" t="str">
        <f>TEXT(Table1[[#This Row],[Order Date]],"MMM")</f>
        <v>May</v>
      </c>
      <c r="Q365">
        <f>MONTH(Table1[[#This Row],[Order Date]])</f>
        <v>5</v>
      </c>
    </row>
    <row r="366" spans="1:17" x14ac:dyDescent="0.25">
      <c r="A366" t="s">
        <v>771</v>
      </c>
      <c r="B366" s="2">
        <v>46153</v>
      </c>
      <c r="C366">
        <v>2026</v>
      </c>
      <c r="D366" t="s">
        <v>206</v>
      </c>
      <c r="E366" t="s">
        <v>455</v>
      </c>
      <c r="F366" t="s">
        <v>195</v>
      </c>
      <c r="G366" t="s">
        <v>196</v>
      </c>
      <c r="H366" t="s">
        <v>35</v>
      </c>
      <c r="I366" t="s">
        <v>42</v>
      </c>
      <c r="J366">
        <v>14</v>
      </c>
      <c r="K366">
        <v>397.58</v>
      </c>
      <c r="L366">
        <v>4332.5600000000004</v>
      </c>
      <c r="M366">
        <f>Table1[[#This Row],[Quantity Sold]]*Table1[[#This Row],[Unit Price]]</f>
        <v>5566.12</v>
      </c>
      <c r="N366">
        <f>Table1[[#This Row],[Sales Amount]]-Table1[[#This Row],[Cost Amount]]</f>
        <v>1233.5599999999995</v>
      </c>
      <c r="O366" t="str">
        <f>"Q"&amp;ROUNDUP(MONTH(Table1[[#This Row],[Order Date]])/3,0)</f>
        <v>Q2</v>
      </c>
      <c r="P366" t="str">
        <f>TEXT(Table1[[#This Row],[Order Date]],"MMM")</f>
        <v>May</v>
      </c>
      <c r="Q366">
        <f>MONTH(Table1[[#This Row],[Order Date]])</f>
        <v>5</v>
      </c>
    </row>
    <row r="367" spans="1:17" x14ac:dyDescent="0.25">
      <c r="A367" t="s">
        <v>772</v>
      </c>
      <c r="B367" s="2">
        <v>46123</v>
      </c>
      <c r="C367">
        <v>2026</v>
      </c>
      <c r="D367" t="s">
        <v>121</v>
      </c>
      <c r="E367" t="s">
        <v>304</v>
      </c>
      <c r="F367" t="s">
        <v>249</v>
      </c>
      <c r="G367" t="s">
        <v>250</v>
      </c>
      <c r="H367" t="s">
        <v>51</v>
      </c>
      <c r="I367" t="s">
        <v>23</v>
      </c>
      <c r="J367">
        <v>20</v>
      </c>
      <c r="K367">
        <v>476.7</v>
      </c>
      <c r="L367">
        <v>6104.14</v>
      </c>
      <c r="M367">
        <f>Table1[[#This Row],[Quantity Sold]]*Table1[[#This Row],[Unit Price]]</f>
        <v>9534</v>
      </c>
      <c r="N367">
        <f>Table1[[#This Row],[Sales Amount]]-Table1[[#This Row],[Cost Amount]]</f>
        <v>3429.8599999999997</v>
      </c>
      <c r="O367" t="str">
        <f>"Q"&amp;ROUNDUP(MONTH(Table1[[#This Row],[Order Date]])/3,0)</f>
        <v>Q2</v>
      </c>
      <c r="P367" t="str">
        <f>TEXT(Table1[[#This Row],[Order Date]],"MMM")</f>
        <v>Apr</v>
      </c>
      <c r="Q367">
        <f>MONTH(Table1[[#This Row],[Order Date]])</f>
        <v>4</v>
      </c>
    </row>
    <row r="368" spans="1:17" x14ac:dyDescent="0.25">
      <c r="A368" t="s">
        <v>773</v>
      </c>
      <c r="B368" s="2">
        <v>46027</v>
      </c>
      <c r="C368">
        <v>2026</v>
      </c>
      <c r="D368" t="s">
        <v>446</v>
      </c>
      <c r="E368" t="s">
        <v>774</v>
      </c>
      <c r="F368" t="s">
        <v>66</v>
      </c>
      <c r="G368" t="s">
        <v>67</v>
      </c>
      <c r="H368" t="s">
        <v>68</v>
      </c>
      <c r="I368" t="s">
        <v>29</v>
      </c>
      <c r="J368">
        <v>5</v>
      </c>
      <c r="K368">
        <v>381.24</v>
      </c>
      <c r="L368">
        <v>1513.89</v>
      </c>
      <c r="M368">
        <f>Table1[[#This Row],[Quantity Sold]]*Table1[[#This Row],[Unit Price]]</f>
        <v>1906.2</v>
      </c>
      <c r="N368">
        <f>Table1[[#This Row],[Sales Amount]]-Table1[[#This Row],[Cost Amount]]</f>
        <v>392.30999999999995</v>
      </c>
      <c r="O368" t="str">
        <f>"Q"&amp;ROUNDUP(MONTH(Table1[[#This Row],[Order Date]])/3,0)</f>
        <v>Q1</v>
      </c>
      <c r="P368" t="str">
        <f>TEXT(Table1[[#This Row],[Order Date]],"MMM")</f>
        <v>Jan</v>
      </c>
      <c r="Q368">
        <f>MONTH(Table1[[#This Row],[Order Date]])</f>
        <v>1</v>
      </c>
    </row>
    <row r="369" spans="1:17" x14ac:dyDescent="0.25">
      <c r="A369" t="s">
        <v>775</v>
      </c>
      <c r="B369" s="2">
        <v>46159</v>
      </c>
      <c r="C369">
        <v>2026</v>
      </c>
      <c r="D369" t="s">
        <v>776</v>
      </c>
      <c r="E369" t="s">
        <v>119</v>
      </c>
      <c r="F369" t="s">
        <v>173</v>
      </c>
      <c r="G369" t="s">
        <v>174</v>
      </c>
      <c r="H369" t="s">
        <v>22</v>
      </c>
      <c r="I369" t="s">
        <v>52</v>
      </c>
      <c r="J369">
        <v>1</v>
      </c>
      <c r="K369">
        <v>67.150000000000006</v>
      </c>
      <c r="L369">
        <v>39.19</v>
      </c>
      <c r="M369">
        <f>Table1[[#This Row],[Quantity Sold]]*Table1[[#This Row],[Unit Price]]</f>
        <v>67.150000000000006</v>
      </c>
      <c r="N369">
        <f>Table1[[#This Row],[Sales Amount]]-Table1[[#This Row],[Cost Amount]]</f>
        <v>27.960000000000008</v>
      </c>
      <c r="O369" t="str">
        <f>"Q"&amp;ROUNDUP(MONTH(Table1[[#This Row],[Order Date]])/3,0)</f>
        <v>Q2</v>
      </c>
      <c r="P369" t="str">
        <f>TEXT(Table1[[#This Row],[Order Date]],"MMM")</f>
        <v>May</v>
      </c>
      <c r="Q369">
        <f>MONTH(Table1[[#This Row],[Order Date]])</f>
        <v>5</v>
      </c>
    </row>
    <row r="370" spans="1:17" x14ac:dyDescent="0.25">
      <c r="A370" t="s">
        <v>777</v>
      </c>
      <c r="B370" s="2">
        <v>46209</v>
      </c>
      <c r="C370">
        <v>2026</v>
      </c>
      <c r="D370" t="s">
        <v>47</v>
      </c>
      <c r="E370" t="s">
        <v>32</v>
      </c>
      <c r="F370" t="s">
        <v>169</v>
      </c>
      <c r="G370" t="s">
        <v>170</v>
      </c>
      <c r="H370" t="s">
        <v>22</v>
      </c>
      <c r="I370" t="s">
        <v>23</v>
      </c>
      <c r="J370">
        <v>4</v>
      </c>
      <c r="K370">
        <v>160.66999999999999</v>
      </c>
      <c r="L370">
        <v>492.91</v>
      </c>
      <c r="M370">
        <f>Table1[[#This Row],[Quantity Sold]]*Table1[[#This Row],[Unit Price]]</f>
        <v>642.67999999999995</v>
      </c>
      <c r="N370">
        <f>Table1[[#This Row],[Sales Amount]]-Table1[[#This Row],[Cost Amount]]</f>
        <v>149.76999999999992</v>
      </c>
      <c r="O370" t="str">
        <f>"Q"&amp;ROUNDUP(MONTH(Table1[[#This Row],[Order Date]])/3,0)</f>
        <v>Q3</v>
      </c>
      <c r="P370" t="str">
        <f>TEXT(Table1[[#This Row],[Order Date]],"MMM")</f>
        <v>Jul</v>
      </c>
      <c r="Q370">
        <f>MONTH(Table1[[#This Row],[Order Date]])</f>
        <v>7</v>
      </c>
    </row>
    <row r="371" spans="1:17" x14ac:dyDescent="0.25">
      <c r="A371" t="s">
        <v>778</v>
      </c>
      <c r="B371" s="2">
        <v>46053</v>
      </c>
      <c r="C371">
        <v>2026</v>
      </c>
      <c r="D371" t="s">
        <v>227</v>
      </c>
      <c r="E371" t="s">
        <v>779</v>
      </c>
      <c r="F371" t="s">
        <v>20</v>
      </c>
      <c r="G371" t="s">
        <v>21</v>
      </c>
      <c r="H371" t="s">
        <v>22</v>
      </c>
      <c r="I371" t="s">
        <v>29</v>
      </c>
      <c r="J371">
        <v>14</v>
      </c>
      <c r="K371">
        <v>472.01</v>
      </c>
      <c r="L371">
        <v>4733.74</v>
      </c>
      <c r="M371">
        <f>Table1[[#This Row],[Quantity Sold]]*Table1[[#This Row],[Unit Price]]</f>
        <v>6608.1399999999994</v>
      </c>
      <c r="N371">
        <f>Table1[[#This Row],[Sales Amount]]-Table1[[#This Row],[Cost Amount]]</f>
        <v>1874.3999999999996</v>
      </c>
      <c r="O371" t="str">
        <f>"Q"&amp;ROUNDUP(MONTH(Table1[[#This Row],[Order Date]])/3,0)</f>
        <v>Q1</v>
      </c>
      <c r="P371" t="str">
        <f>TEXT(Table1[[#This Row],[Order Date]],"MMM")</f>
        <v>Jan</v>
      </c>
      <c r="Q371">
        <f>MONTH(Table1[[#This Row],[Order Date]])</f>
        <v>1</v>
      </c>
    </row>
    <row r="372" spans="1:17" x14ac:dyDescent="0.25">
      <c r="A372" t="s">
        <v>780</v>
      </c>
      <c r="B372" s="2">
        <v>46314</v>
      </c>
      <c r="C372">
        <v>2026</v>
      </c>
      <c r="D372" t="s">
        <v>333</v>
      </c>
      <c r="E372" t="s">
        <v>248</v>
      </c>
      <c r="F372" t="s">
        <v>91</v>
      </c>
      <c r="G372" t="s">
        <v>92</v>
      </c>
      <c r="H372" t="s">
        <v>68</v>
      </c>
      <c r="I372" t="s">
        <v>29</v>
      </c>
      <c r="J372">
        <v>12</v>
      </c>
      <c r="K372">
        <v>44.17</v>
      </c>
      <c r="L372">
        <v>390.82</v>
      </c>
      <c r="M372">
        <f>Table1[[#This Row],[Quantity Sold]]*Table1[[#This Row],[Unit Price]]</f>
        <v>530.04</v>
      </c>
      <c r="N372">
        <f>Table1[[#This Row],[Sales Amount]]-Table1[[#This Row],[Cost Amount]]</f>
        <v>139.21999999999997</v>
      </c>
      <c r="O372" t="str">
        <f>"Q"&amp;ROUNDUP(MONTH(Table1[[#This Row],[Order Date]])/3,0)</f>
        <v>Q4</v>
      </c>
      <c r="P372" t="str">
        <f>TEXT(Table1[[#This Row],[Order Date]],"MMM")</f>
        <v>Oct</v>
      </c>
      <c r="Q372">
        <f>MONTH(Table1[[#This Row],[Order Date]])</f>
        <v>10</v>
      </c>
    </row>
    <row r="373" spans="1:17" x14ac:dyDescent="0.25">
      <c r="A373" t="s">
        <v>781</v>
      </c>
      <c r="B373" s="2">
        <v>46195</v>
      </c>
      <c r="C373">
        <v>2026</v>
      </c>
      <c r="D373" t="s">
        <v>357</v>
      </c>
      <c r="E373" t="s">
        <v>649</v>
      </c>
      <c r="F373" t="s">
        <v>129</v>
      </c>
      <c r="G373" t="s">
        <v>130</v>
      </c>
      <c r="H373" t="s">
        <v>35</v>
      </c>
      <c r="I373" t="s">
        <v>29</v>
      </c>
      <c r="J373">
        <v>19</v>
      </c>
      <c r="K373">
        <v>239.14</v>
      </c>
      <c r="L373">
        <v>3257.32</v>
      </c>
      <c r="M373">
        <f>Table1[[#This Row],[Quantity Sold]]*Table1[[#This Row],[Unit Price]]</f>
        <v>4543.66</v>
      </c>
      <c r="N373">
        <f>Table1[[#This Row],[Sales Amount]]-Table1[[#This Row],[Cost Amount]]</f>
        <v>1286.3399999999997</v>
      </c>
      <c r="O373" t="str">
        <f>"Q"&amp;ROUNDUP(MONTH(Table1[[#This Row],[Order Date]])/3,0)</f>
        <v>Q2</v>
      </c>
      <c r="P373" t="str">
        <f>TEXT(Table1[[#This Row],[Order Date]],"MMM")</f>
        <v>Jun</v>
      </c>
      <c r="Q373">
        <f>MONTH(Table1[[#This Row],[Order Date]])</f>
        <v>6</v>
      </c>
    </row>
    <row r="374" spans="1:17" x14ac:dyDescent="0.25">
      <c r="A374" t="s">
        <v>782</v>
      </c>
      <c r="B374" s="2">
        <v>46063</v>
      </c>
      <c r="C374">
        <v>2026</v>
      </c>
      <c r="D374" t="s">
        <v>25</v>
      </c>
      <c r="E374" t="s">
        <v>700</v>
      </c>
      <c r="F374" t="s">
        <v>20</v>
      </c>
      <c r="G374" t="s">
        <v>21</v>
      </c>
      <c r="H374" t="s">
        <v>22</v>
      </c>
      <c r="I374" t="s">
        <v>23</v>
      </c>
      <c r="J374">
        <v>14</v>
      </c>
      <c r="K374">
        <v>87.8</v>
      </c>
      <c r="L374">
        <v>814.17</v>
      </c>
      <c r="M374">
        <f>Table1[[#This Row],[Quantity Sold]]*Table1[[#This Row],[Unit Price]]</f>
        <v>1229.2</v>
      </c>
      <c r="N374">
        <f>Table1[[#This Row],[Sales Amount]]-Table1[[#This Row],[Cost Amount]]</f>
        <v>415.03000000000009</v>
      </c>
      <c r="O374" t="str">
        <f>"Q"&amp;ROUNDUP(MONTH(Table1[[#This Row],[Order Date]])/3,0)</f>
        <v>Q1</v>
      </c>
      <c r="P374" t="str">
        <f>TEXT(Table1[[#This Row],[Order Date]],"MMM")</f>
        <v>Feb</v>
      </c>
      <c r="Q374">
        <f>MONTH(Table1[[#This Row],[Order Date]])</f>
        <v>2</v>
      </c>
    </row>
    <row r="375" spans="1:17" x14ac:dyDescent="0.25">
      <c r="A375" t="s">
        <v>783</v>
      </c>
      <c r="B375" s="2">
        <v>46188</v>
      </c>
      <c r="C375">
        <v>2026</v>
      </c>
      <c r="D375" t="s">
        <v>157</v>
      </c>
      <c r="E375" t="s">
        <v>560</v>
      </c>
      <c r="F375" t="s">
        <v>317</v>
      </c>
      <c r="G375" t="s">
        <v>318</v>
      </c>
      <c r="H375" t="s">
        <v>22</v>
      </c>
      <c r="I375" t="s">
        <v>42</v>
      </c>
      <c r="J375">
        <v>7</v>
      </c>
      <c r="K375">
        <v>48.79</v>
      </c>
      <c r="L375">
        <v>226</v>
      </c>
      <c r="M375">
        <f>Table1[[#This Row],[Quantity Sold]]*Table1[[#This Row],[Unit Price]]</f>
        <v>341.53</v>
      </c>
      <c r="N375">
        <f>Table1[[#This Row],[Sales Amount]]-Table1[[#This Row],[Cost Amount]]</f>
        <v>115.52999999999997</v>
      </c>
      <c r="O375" t="str">
        <f>"Q"&amp;ROUNDUP(MONTH(Table1[[#This Row],[Order Date]])/3,0)</f>
        <v>Q2</v>
      </c>
      <c r="P375" t="str">
        <f>TEXT(Table1[[#This Row],[Order Date]],"MMM")</f>
        <v>Jun</v>
      </c>
      <c r="Q375">
        <f>MONTH(Table1[[#This Row],[Order Date]])</f>
        <v>6</v>
      </c>
    </row>
    <row r="376" spans="1:17" x14ac:dyDescent="0.25">
      <c r="A376" t="s">
        <v>784</v>
      </c>
      <c r="B376" s="2">
        <v>46369</v>
      </c>
      <c r="C376">
        <v>2026</v>
      </c>
      <c r="D376" t="s">
        <v>776</v>
      </c>
      <c r="E376" t="s">
        <v>363</v>
      </c>
      <c r="F376" t="s">
        <v>233</v>
      </c>
      <c r="G376" t="s">
        <v>234</v>
      </c>
      <c r="H376" t="s">
        <v>51</v>
      </c>
      <c r="I376" t="s">
        <v>23</v>
      </c>
      <c r="J376">
        <v>13</v>
      </c>
      <c r="K376">
        <v>108.9</v>
      </c>
      <c r="L376">
        <v>980.69</v>
      </c>
      <c r="M376">
        <f>Table1[[#This Row],[Quantity Sold]]*Table1[[#This Row],[Unit Price]]</f>
        <v>1415.7</v>
      </c>
      <c r="N376">
        <f>Table1[[#This Row],[Sales Amount]]-Table1[[#This Row],[Cost Amount]]</f>
        <v>435.01</v>
      </c>
      <c r="O376" t="str">
        <f>"Q"&amp;ROUNDUP(MONTH(Table1[[#This Row],[Order Date]])/3,0)</f>
        <v>Q4</v>
      </c>
      <c r="P376" t="str">
        <f>TEXT(Table1[[#This Row],[Order Date]],"MMM")</f>
        <v>Dec</v>
      </c>
      <c r="Q376">
        <f>MONTH(Table1[[#This Row],[Order Date]])</f>
        <v>12</v>
      </c>
    </row>
    <row r="377" spans="1:17" x14ac:dyDescent="0.25">
      <c r="A377" t="s">
        <v>785</v>
      </c>
      <c r="B377" s="2">
        <v>46170</v>
      </c>
      <c r="C377">
        <v>2026</v>
      </c>
      <c r="D377" t="s">
        <v>232</v>
      </c>
      <c r="E377" t="s">
        <v>786</v>
      </c>
      <c r="F377" t="s">
        <v>159</v>
      </c>
      <c r="G377" t="s">
        <v>160</v>
      </c>
      <c r="H377" t="s">
        <v>51</v>
      </c>
      <c r="I377" t="s">
        <v>23</v>
      </c>
      <c r="J377">
        <v>12</v>
      </c>
      <c r="K377">
        <v>322.32</v>
      </c>
      <c r="L377">
        <v>2733.81</v>
      </c>
      <c r="M377">
        <f>Table1[[#This Row],[Quantity Sold]]*Table1[[#This Row],[Unit Price]]</f>
        <v>3867.84</v>
      </c>
      <c r="N377">
        <f>Table1[[#This Row],[Sales Amount]]-Table1[[#This Row],[Cost Amount]]</f>
        <v>1134.0300000000002</v>
      </c>
      <c r="O377" t="str">
        <f>"Q"&amp;ROUNDUP(MONTH(Table1[[#This Row],[Order Date]])/3,0)</f>
        <v>Q2</v>
      </c>
      <c r="P377" t="str">
        <f>TEXT(Table1[[#This Row],[Order Date]],"MMM")</f>
        <v>May</v>
      </c>
      <c r="Q377">
        <f>MONTH(Table1[[#This Row],[Order Date]])</f>
        <v>5</v>
      </c>
    </row>
    <row r="378" spans="1:17" x14ac:dyDescent="0.25">
      <c r="A378" t="s">
        <v>787</v>
      </c>
      <c r="B378" s="2">
        <v>46128</v>
      </c>
      <c r="C378">
        <v>2026</v>
      </c>
      <c r="D378" t="s">
        <v>421</v>
      </c>
      <c r="E378" t="s">
        <v>788</v>
      </c>
      <c r="F378" t="s">
        <v>106</v>
      </c>
      <c r="G378" t="s">
        <v>107</v>
      </c>
      <c r="H378" t="s">
        <v>35</v>
      </c>
      <c r="I378" t="s">
        <v>42</v>
      </c>
      <c r="J378">
        <v>9</v>
      </c>
      <c r="K378">
        <v>444.4</v>
      </c>
      <c r="L378">
        <v>2827.71</v>
      </c>
      <c r="M378">
        <f>Table1[[#This Row],[Quantity Sold]]*Table1[[#This Row],[Unit Price]]</f>
        <v>3999.6</v>
      </c>
      <c r="N378">
        <f>Table1[[#This Row],[Sales Amount]]-Table1[[#This Row],[Cost Amount]]</f>
        <v>1171.8899999999999</v>
      </c>
      <c r="O378" t="str">
        <f>"Q"&amp;ROUNDUP(MONTH(Table1[[#This Row],[Order Date]])/3,0)</f>
        <v>Q2</v>
      </c>
      <c r="P378" t="str">
        <f>TEXT(Table1[[#This Row],[Order Date]],"MMM")</f>
        <v>Apr</v>
      </c>
      <c r="Q378">
        <f>MONTH(Table1[[#This Row],[Order Date]])</f>
        <v>4</v>
      </c>
    </row>
    <row r="379" spans="1:17" x14ac:dyDescent="0.25">
      <c r="A379" t="s">
        <v>789</v>
      </c>
      <c r="B379" s="2">
        <v>46214</v>
      </c>
      <c r="C379">
        <v>2026</v>
      </c>
      <c r="D379" t="s">
        <v>44</v>
      </c>
      <c r="E379" t="s">
        <v>116</v>
      </c>
      <c r="F379" t="s">
        <v>144</v>
      </c>
      <c r="G379" t="s">
        <v>145</v>
      </c>
      <c r="H379" t="s">
        <v>97</v>
      </c>
      <c r="I379" t="s">
        <v>52</v>
      </c>
      <c r="J379">
        <v>18</v>
      </c>
      <c r="K379">
        <v>392.96</v>
      </c>
      <c r="L379">
        <v>4833.18</v>
      </c>
      <c r="M379">
        <f>Table1[[#This Row],[Quantity Sold]]*Table1[[#This Row],[Unit Price]]</f>
        <v>7073.28</v>
      </c>
      <c r="N379">
        <f>Table1[[#This Row],[Sales Amount]]-Table1[[#This Row],[Cost Amount]]</f>
        <v>2240.0999999999995</v>
      </c>
      <c r="O379" t="str">
        <f>"Q"&amp;ROUNDUP(MONTH(Table1[[#This Row],[Order Date]])/3,0)</f>
        <v>Q3</v>
      </c>
      <c r="P379" t="str">
        <f>TEXT(Table1[[#This Row],[Order Date]],"MMM")</f>
        <v>Jul</v>
      </c>
      <c r="Q379">
        <f>MONTH(Table1[[#This Row],[Order Date]])</f>
        <v>7</v>
      </c>
    </row>
    <row r="380" spans="1:17" x14ac:dyDescent="0.25">
      <c r="A380" t="s">
        <v>790</v>
      </c>
      <c r="B380" s="2">
        <v>46130</v>
      </c>
      <c r="C380">
        <v>2026</v>
      </c>
      <c r="D380" t="s">
        <v>559</v>
      </c>
      <c r="E380" t="s">
        <v>791</v>
      </c>
      <c r="F380" t="s">
        <v>66</v>
      </c>
      <c r="G380" t="s">
        <v>67</v>
      </c>
      <c r="H380" t="s">
        <v>68</v>
      </c>
      <c r="I380" t="s">
        <v>29</v>
      </c>
      <c r="J380">
        <v>14</v>
      </c>
      <c r="K380">
        <v>48.61</v>
      </c>
      <c r="L380">
        <v>538.67999999999995</v>
      </c>
      <c r="M380">
        <f>Table1[[#This Row],[Quantity Sold]]*Table1[[#This Row],[Unit Price]]</f>
        <v>680.54</v>
      </c>
      <c r="N380">
        <f>Table1[[#This Row],[Sales Amount]]-Table1[[#This Row],[Cost Amount]]</f>
        <v>141.86000000000001</v>
      </c>
      <c r="O380" t="str">
        <f>"Q"&amp;ROUNDUP(MONTH(Table1[[#This Row],[Order Date]])/3,0)</f>
        <v>Q2</v>
      </c>
      <c r="P380" t="str">
        <f>TEXT(Table1[[#This Row],[Order Date]],"MMM")</f>
        <v>Apr</v>
      </c>
      <c r="Q380">
        <f>MONTH(Table1[[#This Row],[Order Date]])</f>
        <v>4</v>
      </c>
    </row>
    <row r="381" spans="1:17" x14ac:dyDescent="0.25">
      <c r="A381" t="s">
        <v>792</v>
      </c>
      <c r="B381" s="2">
        <v>46273</v>
      </c>
      <c r="C381">
        <v>2026</v>
      </c>
      <c r="D381" t="s">
        <v>459</v>
      </c>
      <c r="E381" t="s">
        <v>483</v>
      </c>
      <c r="F381" t="s">
        <v>33</v>
      </c>
      <c r="G381" t="s">
        <v>34</v>
      </c>
      <c r="H381" t="s">
        <v>35</v>
      </c>
      <c r="I381" t="s">
        <v>42</v>
      </c>
      <c r="J381">
        <v>1</v>
      </c>
      <c r="K381">
        <v>252.71</v>
      </c>
      <c r="L381">
        <v>145.18</v>
      </c>
      <c r="M381">
        <f>Table1[[#This Row],[Quantity Sold]]*Table1[[#This Row],[Unit Price]]</f>
        <v>252.71</v>
      </c>
      <c r="N381">
        <f>Table1[[#This Row],[Sales Amount]]-Table1[[#This Row],[Cost Amount]]</f>
        <v>107.53</v>
      </c>
      <c r="O381" t="str">
        <f>"Q"&amp;ROUNDUP(MONTH(Table1[[#This Row],[Order Date]])/3,0)</f>
        <v>Q3</v>
      </c>
      <c r="P381" t="str">
        <f>TEXT(Table1[[#This Row],[Order Date]],"MMM")</f>
        <v>Sep</v>
      </c>
      <c r="Q381">
        <f>MONTH(Table1[[#This Row],[Order Date]])</f>
        <v>9</v>
      </c>
    </row>
    <row r="382" spans="1:17" x14ac:dyDescent="0.25">
      <c r="A382" t="s">
        <v>793</v>
      </c>
      <c r="B382" s="2">
        <v>46337</v>
      </c>
      <c r="C382">
        <v>2026</v>
      </c>
      <c r="D382" t="s">
        <v>472</v>
      </c>
      <c r="E382" t="s">
        <v>172</v>
      </c>
      <c r="F382" t="s">
        <v>186</v>
      </c>
      <c r="G382" t="s">
        <v>187</v>
      </c>
      <c r="H382" t="s">
        <v>97</v>
      </c>
      <c r="I382" t="s">
        <v>23</v>
      </c>
      <c r="J382">
        <v>16</v>
      </c>
      <c r="K382">
        <v>189.88</v>
      </c>
      <c r="L382">
        <v>1938.21</v>
      </c>
      <c r="M382">
        <f>Table1[[#This Row],[Quantity Sold]]*Table1[[#This Row],[Unit Price]]</f>
        <v>3038.08</v>
      </c>
      <c r="N382">
        <f>Table1[[#This Row],[Sales Amount]]-Table1[[#This Row],[Cost Amount]]</f>
        <v>1099.8699999999999</v>
      </c>
      <c r="O382" t="str">
        <f>"Q"&amp;ROUNDUP(MONTH(Table1[[#This Row],[Order Date]])/3,0)</f>
        <v>Q4</v>
      </c>
      <c r="P382" t="str">
        <f>TEXT(Table1[[#This Row],[Order Date]],"MMM")</f>
        <v>Nov</v>
      </c>
      <c r="Q382">
        <f>MONTH(Table1[[#This Row],[Order Date]])</f>
        <v>11</v>
      </c>
    </row>
    <row r="383" spans="1:17" x14ac:dyDescent="0.25">
      <c r="A383" t="s">
        <v>794</v>
      </c>
      <c r="B383" s="2">
        <v>46110</v>
      </c>
      <c r="C383">
        <v>2026</v>
      </c>
      <c r="D383" t="s">
        <v>44</v>
      </c>
      <c r="E383" t="s">
        <v>514</v>
      </c>
      <c r="F383" t="s">
        <v>154</v>
      </c>
      <c r="G383" t="s">
        <v>155</v>
      </c>
      <c r="H383" t="s">
        <v>68</v>
      </c>
      <c r="I383" t="s">
        <v>23</v>
      </c>
      <c r="J383">
        <v>15</v>
      </c>
      <c r="K383">
        <v>382.8</v>
      </c>
      <c r="L383">
        <v>4407</v>
      </c>
      <c r="M383">
        <f>Table1[[#This Row],[Quantity Sold]]*Table1[[#This Row],[Unit Price]]</f>
        <v>5742</v>
      </c>
      <c r="N383">
        <f>Table1[[#This Row],[Sales Amount]]-Table1[[#This Row],[Cost Amount]]</f>
        <v>1335</v>
      </c>
      <c r="O383" t="str">
        <f>"Q"&amp;ROUNDUP(MONTH(Table1[[#This Row],[Order Date]])/3,0)</f>
        <v>Q1</v>
      </c>
      <c r="P383" t="str">
        <f>TEXT(Table1[[#This Row],[Order Date]],"MMM")</f>
        <v>Mar</v>
      </c>
      <c r="Q383">
        <f>MONTH(Table1[[#This Row],[Order Date]])</f>
        <v>3</v>
      </c>
    </row>
    <row r="384" spans="1:17" x14ac:dyDescent="0.25">
      <c r="A384" t="s">
        <v>795</v>
      </c>
      <c r="B384" s="2">
        <v>46157</v>
      </c>
      <c r="C384">
        <v>2026</v>
      </c>
      <c r="D384" t="s">
        <v>530</v>
      </c>
      <c r="E384" t="s">
        <v>113</v>
      </c>
      <c r="F384" t="s">
        <v>149</v>
      </c>
      <c r="G384" t="s">
        <v>150</v>
      </c>
      <c r="H384" t="s">
        <v>22</v>
      </c>
      <c r="I384" t="s">
        <v>23</v>
      </c>
      <c r="J384">
        <v>9</v>
      </c>
      <c r="K384">
        <v>115.23</v>
      </c>
      <c r="L384">
        <v>634.88</v>
      </c>
      <c r="M384">
        <f>Table1[[#This Row],[Quantity Sold]]*Table1[[#This Row],[Unit Price]]</f>
        <v>1037.07</v>
      </c>
      <c r="N384">
        <f>Table1[[#This Row],[Sales Amount]]-Table1[[#This Row],[Cost Amount]]</f>
        <v>402.18999999999994</v>
      </c>
      <c r="O384" t="str">
        <f>"Q"&amp;ROUNDUP(MONTH(Table1[[#This Row],[Order Date]])/3,0)</f>
        <v>Q2</v>
      </c>
      <c r="P384" t="str">
        <f>TEXT(Table1[[#This Row],[Order Date]],"MMM")</f>
        <v>May</v>
      </c>
      <c r="Q384">
        <f>MONTH(Table1[[#This Row],[Order Date]])</f>
        <v>5</v>
      </c>
    </row>
    <row r="385" spans="1:17" x14ac:dyDescent="0.25">
      <c r="A385" t="s">
        <v>796</v>
      </c>
      <c r="B385" s="2">
        <v>46139</v>
      </c>
      <c r="C385">
        <v>2026</v>
      </c>
      <c r="D385" t="s">
        <v>434</v>
      </c>
      <c r="E385" t="s">
        <v>373</v>
      </c>
      <c r="F385" t="s">
        <v>20</v>
      </c>
      <c r="G385" t="s">
        <v>21</v>
      </c>
      <c r="H385" t="s">
        <v>22</v>
      </c>
      <c r="I385" t="s">
        <v>52</v>
      </c>
      <c r="J385">
        <v>13</v>
      </c>
      <c r="K385">
        <v>151.27000000000001</v>
      </c>
      <c r="L385">
        <v>1320.47</v>
      </c>
      <c r="M385">
        <f>Table1[[#This Row],[Quantity Sold]]*Table1[[#This Row],[Unit Price]]</f>
        <v>1966.5100000000002</v>
      </c>
      <c r="N385">
        <f>Table1[[#This Row],[Sales Amount]]-Table1[[#This Row],[Cost Amount]]</f>
        <v>646.04000000000019</v>
      </c>
      <c r="O385" t="str">
        <f>"Q"&amp;ROUNDUP(MONTH(Table1[[#This Row],[Order Date]])/3,0)</f>
        <v>Q2</v>
      </c>
      <c r="P385" t="str">
        <f>TEXT(Table1[[#This Row],[Order Date]],"MMM")</f>
        <v>Apr</v>
      </c>
      <c r="Q385">
        <f>MONTH(Table1[[#This Row],[Order Date]])</f>
        <v>4</v>
      </c>
    </row>
    <row r="386" spans="1:17" x14ac:dyDescent="0.25">
      <c r="A386" t="s">
        <v>797</v>
      </c>
      <c r="B386" s="2">
        <v>46069</v>
      </c>
      <c r="C386">
        <v>2026</v>
      </c>
      <c r="D386" t="s">
        <v>591</v>
      </c>
      <c r="E386" t="s">
        <v>382</v>
      </c>
      <c r="F386" t="s">
        <v>229</v>
      </c>
      <c r="G386" t="s">
        <v>230</v>
      </c>
      <c r="H386" t="s">
        <v>35</v>
      </c>
      <c r="I386" t="s">
        <v>52</v>
      </c>
      <c r="J386">
        <v>1</v>
      </c>
      <c r="K386">
        <v>283.81</v>
      </c>
      <c r="L386">
        <v>160.80000000000001</v>
      </c>
      <c r="M386">
        <f>Table1[[#This Row],[Quantity Sold]]*Table1[[#This Row],[Unit Price]]</f>
        <v>283.81</v>
      </c>
      <c r="N386">
        <f>Table1[[#This Row],[Sales Amount]]-Table1[[#This Row],[Cost Amount]]</f>
        <v>123.00999999999999</v>
      </c>
      <c r="O386" t="str">
        <f>"Q"&amp;ROUNDUP(MONTH(Table1[[#This Row],[Order Date]])/3,0)</f>
        <v>Q1</v>
      </c>
      <c r="P386" t="str">
        <f>TEXT(Table1[[#This Row],[Order Date]],"MMM")</f>
        <v>Feb</v>
      </c>
      <c r="Q386">
        <f>MONTH(Table1[[#This Row],[Order Date]])</f>
        <v>2</v>
      </c>
    </row>
    <row r="387" spans="1:17" x14ac:dyDescent="0.25">
      <c r="A387" t="s">
        <v>798</v>
      </c>
      <c r="B387" s="2">
        <v>46308</v>
      </c>
      <c r="C387">
        <v>2026</v>
      </c>
      <c r="D387" t="s">
        <v>591</v>
      </c>
      <c r="E387" t="s">
        <v>799</v>
      </c>
      <c r="F387" t="s">
        <v>517</v>
      </c>
      <c r="G387" t="s">
        <v>518</v>
      </c>
      <c r="H387" t="s">
        <v>220</v>
      </c>
      <c r="I387" t="s">
        <v>42</v>
      </c>
      <c r="J387">
        <v>14</v>
      </c>
      <c r="K387">
        <v>121.21</v>
      </c>
      <c r="L387">
        <v>1211.8499999999999</v>
      </c>
      <c r="M387">
        <f>Table1[[#This Row],[Quantity Sold]]*Table1[[#This Row],[Unit Price]]</f>
        <v>1696.9399999999998</v>
      </c>
      <c r="N387">
        <f>Table1[[#This Row],[Sales Amount]]-Table1[[#This Row],[Cost Amount]]</f>
        <v>485.08999999999992</v>
      </c>
      <c r="O387" t="str">
        <f>"Q"&amp;ROUNDUP(MONTH(Table1[[#This Row],[Order Date]])/3,0)</f>
        <v>Q4</v>
      </c>
      <c r="P387" t="str">
        <f>TEXT(Table1[[#This Row],[Order Date]],"MMM")</f>
        <v>Oct</v>
      </c>
      <c r="Q387">
        <f>MONTH(Table1[[#This Row],[Order Date]])</f>
        <v>10</v>
      </c>
    </row>
    <row r="388" spans="1:17" x14ac:dyDescent="0.25">
      <c r="A388" t="s">
        <v>800</v>
      </c>
      <c r="B388" s="2">
        <v>46163</v>
      </c>
      <c r="C388">
        <v>2026</v>
      </c>
      <c r="D388" t="s">
        <v>660</v>
      </c>
      <c r="E388" t="s">
        <v>533</v>
      </c>
      <c r="F388" t="s">
        <v>27</v>
      </c>
      <c r="G388" t="s">
        <v>28</v>
      </c>
      <c r="H388" t="s">
        <v>22</v>
      </c>
      <c r="I388" t="s">
        <v>52</v>
      </c>
      <c r="J388">
        <v>17</v>
      </c>
      <c r="K388">
        <v>497.75</v>
      </c>
      <c r="L388">
        <v>6090.12</v>
      </c>
      <c r="M388">
        <f>Table1[[#This Row],[Quantity Sold]]*Table1[[#This Row],[Unit Price]]</f>
        <v>8461.75</v>
      </c>
      <c r="N388">
        <f>Table1[[#This Row],[Sales Amount]]-Table1[[#This Row],[Cost Amount]]</f>
        <v>2371.63</v>
      </c>
      <c r="O388" t="str">
        <f>"Q"&amp;ROUNDUP(MONTH(Table1[[#This Row],[Order Date]])/3,0)</f>
        <v>Q2</v>
      </c>
      <c r="P388" t="str">
        <f>TEXT(Table1[[#This Row],[Order Date]],"MMM")</f>
        <v>May</v>
      </c>
      <c r="Q388">
        <f>MONTH(Table1[[#This Row],[Order Date]])</f>
        <v>5</v>
      </c>
    </row>
    <row r="389" spans="1:17" x14ac:dyDescent="0.25">
      <c r="A389" t="s">
        <v>801</v>
      </c>
      <c r="B389" s="2">
        <v>46271</v>
      </c>
      <c r="C389">
        <v>2026</v>
      </c>
      <c r="D389" t="s">
        <v>541</v>
      </c>
      <c r="E389" t="s">
        <v>413</v>
      </c>
      <c r="F389" t="s">
        <v>215</v>
      </c>
      <c r="G389" t="s">
        <v>216</v>
      </c>
      <c r="H389" t="s">
        <v>51</v>
      </c>
      <c r="I389" t="s">
        <v>29</v>
      </c>
      <c r="J389">
        <v>17</v>
      </c>
      <c r="K389">
        <v>242.35</v>
      </c>
      <c r="L389">
        <v>2899.06</v>
      </c>
      <c r="M389">
        <f>Table1[[#This Row],[Quantity Sold]]*Table1[[#This Row],[Unit Price]]</f>
        <v>4119.95</v>
      </c>
      <c r="N389">
        <f>Table1[[#This Row],[Sales Amount]]-Table1[[#This Row],[Cost Amount]]</f>
        <v>1220.8899999999999</v>
      </c>
      <c r="O389" t="str">
        <f>"Q"&amp;ROUNDUP(MONTH(Table1[[#This Row],[Order Date]])/3,0)</f>
        <v>Q3</v>
      </c>
      <c r="P389" t="str">
        <f>TEXT(Table1[[#This Row],[Order Date]],"MMM")</f>
        <v>Sep</v>
      </c>
      <c r="Q389">
        <f>MONTH(Table1[[#This Row],[Order Date]])</f>
        <v>9</v>
      </c>
    </row>
    <row r="390" spans="1:17" x14ac:dyDescent="0.25">
      <c r="A390" t="s">
        <v>802</v>
      </c>
      <c r="B390" s="2">
        <v>46024</v>
      </c>
      <c r="C390">
        <v>2026</v>
      </c>
      <c r="D390" t="s">
        <v>115</v>
      </c>
      <c r="E390" t="s">
        <v>105</v>
      </c>
      <c r="F390" t="s">
        <v>484</v>
      </c>
      <c r="G390" t="s">
        <v>485</v>
      </c>
      <c r="H390" t="s">
        <v>97</v>
      </c>
      <c r="I390" t="s">
        <v>29</v>
      </c>
      <c r="J390">
        <v>18</v>
      </c>
      <c r="K390">
        <v>386.69</v>
      </c>
      <c r="L390">
        <v>4524.3500000000004</v>
      </c>
      <c r="M390">
        <f>Table1[[#This Row],[Quantity Sold]]*Table1[[#This Row],[Unit Price]]</f>
        <v>6960.42</v>
      </c>
      <c r="N390">
        <f>Table1[[#This Row],[Sales Amount]]-Table1[[#This Row],[Cost Amount]]</f>
        <v>2436.0699999999997</v>
      </c>
      <c r="O390" t="str">
        <f>"Q"&amp;ROUNDUP(MONTH(Table1[[#This Row],[Order Date]])/3,0)</f>
        <v>Q1</v>
      </c>
      <c r="P390" t="str">
        <f>TEXT(Table1[[#This Row],[Order Date]],"MMM")</f>
        <v>Jan</v>
      </c>
      <c r="Q390">
        <f>MONTH(Table1[[#This Row],[Order Date]])</f>
        <v>1</v>
      </c>
    </row>
    <row r="391" spans="1:17" x14ac:dyDescent="0.25">
      <c r="A391" t="s">
        <v>803</v>
      </c>
      <c r="B391" s="2">
        <v>46367</v>
      </c>
      <c r="C391">
        <v>2026</v>
      </c>
      <c r="D391" t="s">
        <v>37</v>
      </c>
      <c r="E391" t="s">
        <v>76</v>
      </c>
      <c r="F391" t="s">
        <v>154</v>
      </c>
      <c r="G391" t="s">
        <v>155</v>
      </c>
      <c r="H391" t="s">
        <v>68</v>
      </c>
      <c r="I391" t="s">
        <v>23</v>
      </c>
      <c r="J391">
        <v>3</v>
      </c>
      <c r="K391">
        <v>280.52999999999997</v>
      </c>
      <c r="L391">
        <v>573.45000000000005</v>
      </c>
      <c r="M391">
        <f>Table1[[#This Row],[Quantity Sold]]*Table1[[#This Row],[Unit Price]]</f>
        <v>841.58999999999992</v>
      </c>
      <c r="N391">
        <f>Table1[[#This Row],[Sales Amount]]-Table1[[#This Row],[Cost Amount]]</f>
        <v>268.13999999999987</v>
      </c>
      <c r="O391" t="str">
        <f>"Q"&amp;ROUNDUP(MONTH(Table1[[#This Row],[Order Date]])/3,0)</f>
        <v>Q4</v>
      </c>
      <c r="P391" t="str">
        <f>TEXT(Table1[[#This Row],[Order Date]],"MMM")</f>
        <v>Dec</v>
      </c>
      <c r="Q391">
        <f>MONTH(Table1[[#This Row],[Order Date]])</f>
        <v>12</v>
      </c>
    </row>
    <row r="392" spans="1:17" x14ac:dyDescent="0.25">
      <c r="A392" t="s">
        <v>804</v>
      </c>
      <c r="B392" s="2">
        <v>46300</v>
      </c>
      <c r="C392">
        <v>2026</v>
      </c>
      <c r="D392" t="s">
        <v>446</v>
      </c>
      <c r="E392" t="s">
        <v>329</v>
      </c>
      <c r="F392" t="s">
        <v>129</v>
      </c>
      <c r="G392" t="s">
        <v>130</v>
      </c>
      <c r="H392" t="s">
        <v>35</v>
      </c>
      <c r="I392" t="s">
        <v>23</v>
      </c>
      <c r="J392">
        <v>13</v>
      </c>
      <c r="K392">
        <v>213.24</v>
      </c>
      <c r="L392">
        <v>1734.92</v>
      </c>
      <c r="M392">
        <f>Table1[[#This Row],[Quantity Sold]]*Table1[[#This Row],[Unit Price]]</f>
        <v>2772.12</v>
      </c>
      <c r="N392">
        <f>Table1[[#This Row],[Sales Amount]]-Table1[[#This Row],[Cost Amount]]</f>
        <v>1037.1999999999998</v>
      </c>
      <c r="O392" t="str">
        <f>"Q"&amp;ROUNDUP(MONTH(Table1[[#This Row],[Order Date]])/3,0)</f>
        <v>Q4</v>
      </c>
      <c r="P392" t="str">
        <f>TEXT(Table1[[#This Row],[Order Date]],"MMM")</f>
        <v>Oct</v>
      </c>
      <c r="Q392">
        <f>MONTH(Table1[[#This Row],[Order Date]])</f>
        <v>10</v>
      </c>
    </row>
    <row r="393" spans="1:17" x14ac:dyDescent="0.25">
      <c r="A393" t="s">
        <v>805</v>
      </c>
      <c r="B393" s="2">
        <v>46365</v>
      </c>
      <c r="C393">
        <v>2026</v>
      </c>
      <c r="D393" t="s">
        <v>470</v>
      </c>
      <c r="E393" t="s">
        <v>331</v>
      </c>
      <c r="F393" t="s">
        <v>91</v>
      </c>
      <c r="G393" t="s">
        <v>92</v>
      </c>
      <c r="H393" t="s">
        <v>68</v>
      </c>
      <c r="I393" t="s">
        <v>29</v>
      </c>
      <c r="J393">
        <v>10</v>
      </c>
      <c r="K393">
        <v>370.04</v>
      </c>
      <c r="L393">
        <v>2727.9</v>
      </c>
      <c r="M393">
        <f>Table1[[#This Row],[Quantity Sold]]*Table1[[#This Row],[Unit Price]]</f>
        <v>3700.4</v>
      </c>
      <c r="N393">
        <f>Table1[[#This Row],[Sales Amount]]-Table1[[#This Row],[Cost Amount]]</f>
        <v>972.5</v>
      </c>
      <c r="O393" t="str">
        <f>"Q"&amp;ROUNDUP(MONTH(Table1[[#This Row],[Order Date]])/3,0)</f>
        <v>Q4</v>
      </c>
      <c r="P393" t="str">
        <f>TEXT(Table1[[#This Row],[Order Date]],"MMM")</f>
        <v>Dec</v>
      </c>
      <c r="Q393">
        <f>MONTH(Table1[[#This Row],[Order Date]])</f>
        <v>12</v>
      </c>
    </row>
    <row r="394" spans="1:17" x14ac:dyDescent="0.25">
      <c r="A394" t="s">
        <v>806</v>
      </c>
      <c r="B394" s="2">
        <v>46072</v>
      </c>
      <c r="C394">
        <v>2026</v>
      </c>
      <c r="D394" t="s">
        <v>132</v>
      </c>
      <c r="E394" t="s">
        <v>620</v>
      </c>
      <c r="F394" t="s">
        <v>233</v>
      </c>
      <c r="G394" t="s">
        <v>234</v>
      </c>
      <c r="H394" t="s">
        <v>51</v>
      </c>
      <c r="I394" t="s">
        <v>42</v>
      </c>
      <c r="J394">
        <v>13</v>
      </c>
      <c r="K394">
        <v>346.41</v>
      </c>
      <c r="L394">
        <v>2977.38</v>
      </c>
      <c r="M394">
        <f>Table1[[#This Row],[Quantity Sold]]*Table1[[#This Row],[Unit Price]]</f>
        <v>4503.33</v>
      </c>
      <c r="N394">
        <f>Table1[[#This Row],[Sales Amount]]-Table1[[#This Row],[Cost Amount]]</f>
        <v>1525.9499999999998</v>
      </c>
      <c r="O394" t="str">
        <f>"Q"&amp;ROUNDUP(MONTH(Table1[[#This Row],[Order Date]])/3,0)</f>
        <v>Q1</v>
      </c>
      <c r="P394" t="str">
        <f>TEXT(Table1[[#This Row],[Order Date]],"MMM")</f>
        <v>Feb</v>
      </c>
      <c r="Q394">
        <f>MONTH(Table1[[#This Row],[Order Date]])</f>
        <v>2</v>
      </c>
    </row>
    <row r="395" spans="1:17" x14ac:dyDescent="0.25">
      <c r="A395" t="s">
        <v>807</v>
      </c>
      <c r="B395" s="2">
        <v>46168</v>
      </c>
      <c r="C395">
        <v>2026</v>
      </c>
      <c r="D395" t="s">
        <v>572</v>
      </c>
      <c r="E395" t="s">
        <v>353</v>
      </c>
      <c r="F395" t="s">
        <v>195</v>
      </c>
      <c r="G395" t="s">
        <v>196</v>
      </c>
      <c r="H395" t="s">
        <v>35</v>
      </c>
      <c r="I395" t="s">
        <v>52</v>
      </c>
      <c r="J395">
        <v>8</v>
      </c>
      <c r="K395">
        <v>90.05</v>
      </c>
      <c r="L395">
        <v>411.07</v>
      </c>
      <c r="M395">
        <f>Table1[[#This Row],[Quantity Sold]]*Table1[[#This Row],[Unit Price]]</f>
        <v>720.4</v>
      </c>
      <c r="N395">
        <f>Table1[[#This Row],[Sales Amount]]-Table1[[#This Row],[Cost Amount]]</f>
        <v>309.33</v>
      </c>
      <c r="O395" t="str">
        <f>"Q"&amp;ROUNDUP(MONTH(Table1[[#This Row],[Order Date]])/3,0)</f>
        <v>Q2</v>
      </c>
      <c r="P395" t="str">
        <f>TEXT(Table1[[#This Row],[Order Date]],"MMM")</f>
        <v>May</v>
      </c>
      <c r="Q395">
        <f>MONTH(Table1[[#This Row],[Order Date]])</f>
        <v>5</v>
      </c>
    </row>
    <row r="396" spans="1:17" x14ac:dyDescent="0.25">
      <c r="A396" t="s">
        <v>808</v>
      </c>
      <c r="B396" s="2">
        <v>46139</v>
      </c>
      <c r="C396">
        <v>2026</v>
      </c>
      <c r="D396" t="s">
        <v>281</v>
      </c>
      <c r="E396" t="s">
        <v>809</v>
      </c>
      <c r="F396" t="s">
        <v>27</v>
      </c>
      <c r="G396" t="s">
        <v>28</v>
      </c>
      <c r="H396" t="s">
        <v>22</v>
      </c>
      <c r="I396" t="s">
        <v>42</v>
      </c>
      <c r="J396">
        <v>12</v>
      </c>
      <c r="K396">
        <v>79.34</v>
      </c>
      <c r="L396">
        <v>499.35</v>
      </c>
      <c r="M396">
        <f>Table1[[#This Row],[Quantity Sold]]*Table1[[#This Row],[Unit Price]]</f>
        <v>952.08</v>
      </c>
      <c r="N396">
        <f>Table1[[#This Row],[Sales Amount]]-Table1[[#This Row],[Cost Amount]]</f>
        <v>452.73</v>
      </c>
      <c r="O396" t="str">
        <f>"Q"&amp;ROUNDUP(MONTH(Table1[[#This Row],[Order Date]])/3,0)</f>
        <v>Q2</v>
      </c>
      <c r="P396" t="str">
        <f>TEXT(Table1[[#This Row],[Order Date]],"MMM")</f>
        <v>Apr</v>
      </c>
      <c r="Q396">
        <f>MONTH(Table1[[#This Row],[Order Date]])</f>
        <v>4</v>
      </c>
    </row>
    <row r="397" spans="1:17" x14ac:dyDescent="0.25">
      <c r="A397" t="s">
        <v>810</v>
      </c>
      <c r="B397" s="2">
        <v>46050</v>
      </c>
      <c r="C397">
        <v>2026</v>
      </c>
      <c r="D397" t="s">
        <v>268</v>
      </c>
      <c r="E397" t="s">
        <v>554</v>
      </c>
      <c r="F397" t="s">
        <v>218</v>
      </c>
      <c r="G397" t="s">
        <v>219</v>
      </c>
      <c r="H397" t="s">
        <v>220</v>
      </c>
      <c r="I397" t="s">
        <v>42</v>
      </c>
      <c r="J397">
        <v>19</v>
      </c>
      <c r="K397">
        <v>307.5</v>
      </c>
      <c r="L397">
        <v>4815.2700000000004</v>
      </c>
      <c r="M397">
        <f>Table1[[#This Row],[Quantity Sold]]*Table1[[#This Row],[Unit Price]]</f>
        <v>5842.5</v>
      </c>
      <c r="N397">
        <f>Table1[[#This Row],[Sales Amount]]-Table1[[#This Row],[Cost Amount]]</f>
        <v>1027.2299999999996</v>
      </c>
      <c r="O397" t="str">
        <f>"Q"&amp;ROUNDUP(MONTH(Table1[[#This Row],[Order Date]])/3,0)</f>
        <v>Q1</v>
      </c>
      <c r="P397" t="str">
        <f>TEXT(Table1[[#This Row],[Order Date]],"MMM")</f>
        <v>Jan</v>
      </c>
      <c r="Q397">
        <f>MONTH(Table1[[#This Row],[Order Date]])</f>
        <v>1</v>
      </c>
    </row>
    <row r="398" spans="1:17" x14ac:dyDescent="0.25">
      <c r="A398" t="s">
        <v>811</v>
      </c>
      <c r="B398" s="2">
        <v>46387</v>
      </c>
      <c r="C398">
        <v>2026</v>
      </c>
      <c r="D398" t="s">
        <v>479</v>
      </c>
      <c r="E398" t="s">
        <v>812</v>
      </c>
      <c r="F398" t="s">
        <v>61</v>
      </c>
      <c r="G398" t="s">
        <v>62</v>
      </c>
      <c r="H398" t="s">
        <v>22</v>
      </c>
      <c r="I398" t="s">
        <v>29</v>
      </c>
      <c r="J398">
        <v>2</v>
      </c>
      <c r="K398">
        <v>87.64</v>
      </c>
      <c r="L398">
        <v>108.57</v>
      </c>
      <c r="M398">
        <f>Table1[[#This Row],[Quantity Sold]]*Table1[[#This Row],[Unit Price]]</f>
        <v>175.28</v>
      </c>
      <c r="N398">
        <f>Table1[[#This Row],[Sales Amount]]-Table1[[#This Row],[Cost Amount]]</f>
        <v>66.710000000000008</v>
      </c>
      <c r="O398" t="str">
        <f>"Q"&amp;ROUNDUP(MONTH(Table1[[#This Row],[Order Date]])/3,0)</f>
        <v>Q4</v>
      </c>
      <c r="P398" t="str">
        <f>TEXT(Table1[[#This Row],[Order Date]],"MMM")</f>
        <v>Dec</v>
      </c>
      <c r="Q398">
        <f>MONTH(Table1[[#This Row],[Order Date]])</f>
        <v>12</v>
      </c>
    </row>
    <row r="399" spans="1:17" x14ac:dyDescent="0.25">
      <c r="A399" t="s">
        <v>813</v>
      </c>
      <c r="B399" s="2">
        <v>46158</v>
      </c>
      <c r="C399">
        <v>2026</v>
      </c>
      <c r="D399" t="s">
        <v>427</v>
      </c>
      <c r="E399" t="s">
        <v>500</v>
      </c>
      <c r="F399" t="s">
        <v>313</v>
      </c>
      <c r="G399" t="s">
        <v>314</v>
      </c>
      <c r="H399" t="s">
        <v>68</v>
      </c>
      <c r="I399" t="s">
        <v>23</v>
      </c>
      <c r="J399">
        <v>16</v>
      </c>
      <c r="K399">
        <v>111.25</v>
      </c>
      <c r="L399">
        <v>1003.15</v>
      </c>
      <c r="M399">
        <f>Table1[[#This Row],[Quantity Sold]]*Table1[[#This Row],[Unit Price]]</f>
        <v>1780</v>
      </c>
      <c r="N399">
        <f>Table1[[#This Row],[Sales Amount]]-Table1[[#This Row],[Cost Amount]]</f>
        <v>776.85</v>
      </c>
      <c r="O399" t="str">
        <f>"Q"&amp;ROUNDUP(MONTH(Table1[[#This Row],[Order Date]])/3,0)</f>
        <v>Q2</v>
      </c>
      <c r="P399" t="str">
        <f>TEXT(Table1[[#This Row],[Order Date]],"MMM")</f>
        <v>May</v>
      </c>
      <c r="Q399">
        <f>MONTH(Table1[[#This Row],[Order Date]])</f>
        <v>5</v>
      </c>
    </row>
    <row r="400" spans="1:17" x14ac:dyDescent="0.25">
      <c r="A400" t="s">
        <v>814</v>
      </c>
      <c r="B400" s="2">
        <v>46038</v>
      </c>
      <c r="C400">
        <v>2026</v>
      </c>
      <c r="D400" t="s">
        <v>288</v>
      </c>
      <c r="E400" t="s">
        <v>411</v>
      </c>
      <c r="F400" t="s">
        <v>323</v>
      </c>
      <c r="G400" t="s">
        <v>324</v>
      </c>
      <c r="H400" t="s">
        <v>68</v>
      </c>
      <c r="I400" t="s">
        <v>23</v>
      </c>
      <c r="J400">
        <v>11</v>
      </c>
      <c r="K400">
        <v>227.9</v>
      </c>
      <c r="L400">
        <v>1736.6</v>
      </c>
      <c r="M400">
        <f>Table1[[#This Row],[Quantity Sold]]*Table1[[#This Row],[Unit Price]]</f>
        <v>2506.9</v>
      </c>
      <c r="N400">
        <f>Table1[[#This Row],[Sales Amount]]-Table1[[#This Row],[Cost Amount]]</f>
        <v>770.30000000000018</v>
      </c>
      <c r="O400" t="str">
        <f>"Q"&amp;ROUNDUP(MONTH(Table1[[#This Row],[Order Date]])/3,0)</f>
        <v>Q1</v>
      </c>
      <c r="P400" t="str">
        <f>TEXT(Table1[[#This Row],[Order Date]],"MMM")</f>
        <v>Jan</v>
      </c>
      <c r="Q400">
        <f>MONTH(Table1[[#This Row],[Order Date]])</f>
        <v>1</v>
      </c>
    </row>
    <row r="401" spans="1:17" x14ac:dyDescent="0.25">
      <c r="A401" t="s">
        <v>815</v>
      </c>
      <c r="B401" s="2">
        <v>46131</v>
      </c>
      <c r="C401">
        <v>2026</v>
      </c>
      <c r="D401" t="s">
        <v>463</v>
      </c>
      <c r="E401" t="s">
        <v>225</v>
      </c>
      <c r="F401" t="s">
        <v>215</v>
      </c>
      <c r="G401" t="s">
        <v>216</v>
      </c>
      <c r="H401" t="s">
        <v>51</v>
      </c>
      <c r="I401" t="s">
        <v>52</v>
      </c>
      <c r="J401">
        <v>10</v>
      </c>
      <c r="K401">
        <v>478.47</v>
      </c>
      <c r="L401">
        <v>2850.86</v>
      </c>
      <c r="M401">
        <f>Table1[[#This Row],[Quantity Sold]]*Table1[[#This Row],[Unit Price]]</f>
        <v>4784.7000000000007</v>
      </c>
      <c r="N401">
        <f>Table1[[#This Row],[Sales Amount]]-Table1[[#This Row],[Cost Amount]]</f>
        <v>1933.8400000000006</v>
      </c>
      <c r="O401" t="str">
        <f>"Q"&amp;ROUNDUP(MONTH(Table1[[#This Row],[Order Date]])/3,0)</f>
        <v>Q2</v>
      </c>
      <c r="P401" t="str">
        <f>TEXT(Table1[[#This Row],[Order Date]],"MMM")</f>
        <v>Apr</v>
      </c>
      <c r="Q401">
        <f>MONTH(Table1[[#This Row],[Order Date]])</f>
        <v>4</v>
      </c>
    </row>
    <row r="402" spans="1:17" x14ac:dyDescent="0.25">
      <c r="A402" t="s">
        <v>816</v>
      </c>
      <c r="B402" s="2">
        <v>46106</v>
      </c>
      <c r="C402">
        <v>2026</v>
      </c>
      <c r="D402" t="s">
        <v>18</v>
      </c>
      <c r="E402" t="s">
        <v>817</v>
      </c>
      <c r="F402" t="s">
        <v>233</v>
      </c>
      <c r="G402" t="s">
        <v>234</v>
      </c>
      <c r="H402" t="s">
        <v>51</v>
      </c>
      <c r="I402" t="s">
        <v>29</v>
      </c>
      <c r="J402">
        <v>1</v>
      </c>
      <c r="K402">
        <v>412.77</v>
      </c>
      <c r="L402">
        <v>265.69</v>
      </c>
      <c r="M402">
        <f>Table1[[#This Row],[Quantity Sold]]*Table1[[#This Row],[Unit Price]]</f>
        <v>412.77</v>
      </c>
      <c r="N402">
        <f>Table1[[#This Row],[Sales Amount]]-Table1[[#This Row],[Cost Amount]]</f>
        <v>147.07999999999998</v>
      </c>
      <c r="O402" t="str">
        <f>"Q"&amp;ROUNDUP(MONTH(Table1[[#This Row],[Order Date]])/3,0)</f>
        <v>Q1</v>
      </c>
      <c r="P402" t="str">
        <f>TEXT(Table1[[#This Row],[Order Date]],"MMM")</f>
        <v>Mar</v>
      </c>
      <c r="Q402">
        <f>MONTH(Table1[[#This Row],[Order Date]])</f>
        <v>3</v>
      </c>
    </row>
    <row r="403" spans="1:17" x14ac:dyDescent="0.25">
      <c r="A403" t="s">
        <v>818</v>
      </c>
      <c r="B403" s="2">
        <v>46144</v>
      </c>
      <c r="C403">
        <v>2026</v>
      </c>
      <c r="D403" t="s">
        <v>446</v>
      </c>
      <c r="E403" t="s">
        <v>185</v>
      </c>
      <c r="F403" t="s">
        <v>347</v>
      </c>
      <c r="G403" t="s">
        <v>348</v>
      </c>
      <c r="H403" t="s">
        <v>68</v>
      </c>
      <c r="I403" t="s">
        <v>42</v>
      </c>
      <c r="J403">
        <v>10</v>
      </c>
      <c r="K403">
        <v>180.01</v>
      </c>
      <c r="L403">
        <v>1096.32</v>
      </c>
      <c r="M403">
        <f>Table1[[#This Row],[Quantity Sold]]*Table1[[#This Row],[Unit Price]]</f>
        <v>1800.1</v>
      </c>
      <c r="N403">
        <f>Table1[[#This Row],[Sales Amount]]-Table1[[#This Row],[Cost Amount]]</f>
        <v>703.78</v>
      </c>
      <c r="O403" t="str">
        <f>"Q"&amp;ROUNDUP(MONTH(Table1[[#This Row],[Order Date]])/3,0)</f>
        <v>Q2</v>
      </c>
      <c r="P403" t="str">
        <f>TEXT(Table1[[#This Row],[Order Date]],"MMM")</f>
        <v>May</v>
      </c>
      <c r="Q403">
        <f>MONTH(Table1[[#This Row],[Order Date]])</f>
        <v>5</v>
      </c>
    </row>
    <row r="404" spans="1:17" x14ac:dyDescent="0.25">
      <c r="A404" t="s">
        <v>819</v>
      </c>
      <c r="B404" s="2">
        <v>46314</v>
      </c>
      <c r="C404">
        <v>2026</v>
      </c>
      <c r="D404" t="s">
        <v>268</v>
      </c>
      <c r="E404" t="s">
        <v>525</v>
      </c>
      <c r="F404" t="s">
        <v>91</v>
      </c>
      <c r="G404" t="s">
        <v>92</v>
      </c>
      <c r="H404" t="s">
        <v>68</v>
      </c>
      <c r="I404" t="s">
        <v>29</v>
      </c>
      <c r="J404">
        <v>15</v>
      </c>
      <c r="K404">
        <v>464.76</v>
      </c>
      <c r="L404">
        <v>3971.18</v>
      </c>
      <c r="M404">
        <f>Table1[[#This Row],[Quantity Sold]]*Table1[[#This Row],[Unit Price]]</f>
        <v>6971.4</v>
      </c>
      <c r="N404">
        <f>Table1[[#This Row],[Sales Amount]]-Table1[[#This Row],[Cost Amount]]</f>
        <v>3000.22</v>
      </c>
      <c r="O404" t="str">
        <f>"Q"&amp;ROUNDUP(MONTH(Table1[[#This Row],[Order Date]])/3,0)</f>
        <v>Q4</v>
      </c>
      <c r="P404" t="str">
        <f>TEXT(Table1[[#This Row],[Order Date]],"MMM")</f>
        <v>Oct</v>
      </c>
      <c r="Q404">
        <f>MONTH(Table1[[#This Row],[Order Date]])</f>
        <v>10</v>
      </c>
    </row>
    <row r="405" spans="1:17" x14ac:dyDescent="0.25">
      <c r="A405" t="s">
        <v>820</v>
      </c>
      <c r="B405" s="2">
        <v>46234</v>
      </c>
      <c r="C405">
        <v>2026</v>
      </c>
      <c r="D405" t="s">
        <v>222</v>
      </c>
      <c r="E405" t="s">
        <v>237</v>
      </c>
      <c r="F405" t="s">
        <v>347</v>
      </c>
      <c r="G405" t="s">
        <v>348</v>
      </c>
      <c r="H405" t="s">
        <v>68</v>
      </c>
      <c r="I405" t="s">
        <v>52</v>
      </c>
      <c r="J405">
        <v>4</v>
      </c>
      <c r="K405">
        <v>332.17</v>
      </c>
      <c r="L405">
        <v>865.37</v>
      </c>
      <c r="M405">
        <f>Table1[[#This Row],[Quantity Sold]]*Table1[[#This Row],[Unit Price]]</f>
        <v>1328.68</v>
      </c>
      <c r="N405">
        <f>Table1[[#This Row],[Sales Amount]]-Table1[[#This Row],[Cost Amount]]</f>
        <v>463.31000000000006</v>
      </c>
      <c r="O405" t="str">
        <f>"Q"&amp;ROUNDUP(MONTH(Table1[[#This Row],[Order Date]])/3,0)</f>
        <v>Q3</v>
      </c>
      <c r="P405" t="str">
        <f>TEXT(Table1[[#This Row],[Order Date]],"MMM")</f>
        <v>Jul</v>
      </c>
      <c r="Q405">
        <f>MONTH(Table1[[#This Row],[Order Date]])</f>
        <v>7</v>
      </c>
    </row>
    <row r="406" spans="1:17" x14ac:dyDescent="0.25">
      <c r="A406" t="s">
        <v>821</v>
      </c>
      <c r="B406" s="2">
        <v>46259</v>
      </c>
      <c r="C406">
        <v>2026</v>
      </c>
      <c r="D406" t="s">
        <v>268</v>
      </c>
      <c r="E406" t="s">
        <v>602</v>
      </c>
      <c r="F406" t="s">
        <v>95</v>
      </c>
      <c r="G406" t="s">
        <v>96</v>
      </c>
      <c r="H406" t="s">
        <v>97</v>
      </c>
      <c r="I406" t="s">
        <v>29</v>
      </c>
      <c r="J406">
        <v>8</v>
      </c>
      <c r="K406">
        <v>439.12</v>
      </c>
      <c r="L406">
        <v>2010.79</v>
      </c>
      <c r="M406">
        <f>Table1[[#This Row],[Quantity Sold]]*Table1[[#This Row],[Unit Price]]</f>
        <v>3512.96</v>
      </c>
      <c r="N406">
        <f>Table1[[#This Row],[Sales Amount]]-Table1[[#This Row],[Cost Amount]]</f>
        <v>1502.17</v>
      </c>
      <c r="O406" t="str">
        <f>"Q"&amp;ROUNDUP(MONTH(Table1[[#This Row],[Order Date]])/3,0)</f>
        <v>Q3</v>
      </c>
      <c r="P406" t="str">
        <f>TEXT(Table1[[#This Row],[Order Date]],"MMM")</f>
        <v>Aug</v>
      </c>
      <c r="Q406">
        <f>MONTH(Table1[[#This Row],[Order Date]])</f>
        <v>8</v>
      </c>
    </row>
    <row r="407" spans="1:17" x14ac:dyDescent="0.25">
      <c r="A407" t="s">
        <v>822</v>
      </c>
      <c r="B407" s="2">
        <v>46307</v>
      </c>
      <c r="C407">
        <v>2026</v>
      </c>
      <c r="D407" t="s">
        <v>89</v>
      </c>
      <c r="E407" t="s">
        <v>823</v>
      </c>
      <c r="F407" t="s">
        <v>190</v>
      </c>
      <c r="G407" t="s">
        <v>191</v>
      </c>
      <c r="H407" t="s">
        <v>35</v>
      </c>
      <c r="I407" t="s">
        <v>52</v>
      </c>
      <c r="J407">
        <v>6</v>
      </c>
      <c r="K407">
        <v>486.94</v>
      </c>
      <c r="L407">
        <v>2221.14</v>
      </c>
      <c r="M407">
        <f>Table1[[#This Row],[Quantity Sold]]*Table1[[#This Row],[Unit Price]]</f>
        <v>2921.64</v>
      </c>
      <c r="N407">
        <f>Table1[[#This Row],[Sales Amount]]-Table1[[#This Row],[Cost Amount]]</f>
        <v>700.5</v>
      </c>
      <c r="O407" t="str">
        <f>"Q"&amp;ROUNDUP(MONTH(Table1[[#This Row],[Order Date]])/3,0)</f>
        <v>Q4</v>
      </c>
      <c r="P407" t="str">
        <f>TEXT(Table1[[#This Row],[Order Date]],"MMM")</f>
        <v>Oct</v>
      </c>
      <c r="Q407">
        <f>MONTH(Table1[[#This Row],[Order Date]])</f>
        <v>10</v>
      </c>
    </row>
    <row r="408" spans="1:17" x14ac:dyDescent="0.25">
      <c r="A408" t="s">
        <v>824</v>
      </c>
      <c r="B408" s="2">
        <v>46335</v>
      </c>
      <c r="C408">
        <v>2026</v>
      </c>
      <c r="D408" t="s">
        <v>236</v>
      </c>
      <c r="E408" t="s">
        <v>110</v>
      </c>
      <c r="F408" t="s">
        <v>72</v>
      </c>
      <c r="G408" t="s">
        <v>73</v>
      </c>
      <c r="H408" t="s">
        <v>41</v>
      </c>
      <c r="I408" t="s">
        <v>42</v>
      </c>
      <c r="J408">
        <v>7</v>
      </c>
      <c r="K408">
        <v>336.86</v>
      </c>
      <c r="L408">
        <v>1327.76</v>
      </c>
      <c r="M408">
        <f>Table1[[#This Row],[Quantity Sold]]*Table1[[#This Row],[Unit Price]]</f>
        <v>2358.02</v>
      </c>
      <c r="N408">
        <f>Table1[[#This Row],[Sales Amount]]-Table1[[#This Row],[Cost Amount]]</f>
        <v>1030.26</v>
      </c>
      <c r="O408" t="str">
        <f>"Q"&amp;ROUNDUP(MONTH(Table1[[#This Row],[Order Date]])/3,0)</f>
        <v>Q4</v>
      </c>
      <c r="P408" t="str">
        <f>TEXT(Table1[[#This Row],[Order Date]],"MMM")</f>
        <v>Nov</v>
      </c>
      <c r="Q408">
        <f>MONTH(Table1[[#This Row],[Order Date]])</f>
        <v>11</v>
      </c>
    </row>
    <row r="409" spans="1:17" x14ac:dyDescent="0.25">
      <c r="A409" t="s">
        <v>825</v>
      </c>
      <c r="B409" s="2">
        <v>46386</v>
      </c>
      <c r="C409">
        <v>2026</v>
      </c>
      <c r="D409" t="s">
        <v>660</v>
      </c>
      <c r="E409" t="s">
        <v>554</v>
      </c>
      <c r="F409" t="s">
        <v>313</v>
      </c>
      <c r="G409" t="s">
        <v>314</v>
      </c>
      <c r="H409" t="s">
        <v>68</v>
      </c>
      <c r="I409" t="s">
        <v>29</v>
      </c>
      <c r="J409">
        <v>17</v>
      </c>
      <c r="K409">
        <v>61.13</v>
      </c>
      <c r="L409">
        <v>679.37</v>
      </c>
      <c r="M409">
        <f>Table1[[#This Row],[Quantity Sold]]*Table1[[#This Row],[Unit Price]]</f>
        <v>1039.21</v>
      </c>
      <c r="N409">
        <f>Table1[[#This Row],[Sales Amount]]-Table1[[#This Row],[Cost Amount]]</f>
        <v>359.84000000000003</v>
      </c>
      <c r="O409" t="str">
        <f>"Q"&amp;ROUNDUP(MONTH(Table1[[#This Row],[Order Date]])/3,0)</f>
        <v>Q4</v>
      </c>
      <c r="P409" t="str">
        <f>TEXT(Table1[[#This Row],[Order Date]],"MMM")</f>
        <v>Dec</v>
      </c>
      <c r="Q409">
        <f>MONTH(Table1[[#This Row],[Order Date]])</f>
        <v>12</v>
      </c>
    </row>
    <row r="410" spans="1:17" x14ac:dyDescent="0.25">
      <c r="A410" t="s">
        <v>826</v>
      </c>
      <c r="B410" s="2">
        <v>46310</v>
      </c>
      <c r="C410">
        <v>2026</v>
      </c>
      <c r="D410" t="s">
        <v>508</v>
      </c>
      <c r="E410" t="s">
        <v>539</v>
      </c>
      <c r="F410" t="s">
        <v>134</v>
      </c>
      <c r="G410" t="s">
        <v>135</v>
      </c>
      <c r="H410" t="s">
        <v>22</v>
      </c>
      <c r="I410" t="s">
        <v>23</v>
      </c>
      <c r="J410">
        <v>11</v>
      </c>
      <c r="K410">
        <v>58.38</v>
      </c>
      <c r="L410">
        <v>506.39</v>
      </c>
      <c r="M410">
        <f>Table1[[#This Row],[Quantity Sold]]*Table1[[#This Row],[Unit Price]]</f>
        <v>642.18000000000006</v>
      </c>
      <c r="N410">
        <f>Table1[[#This Row],[Sales Amount]]-Table1[[#This Row],[Cost Amount]]</f>
        <v>135.79000000000008</v>
      </c>
      <c r="O410" t="str">
        <f>"Q"&amp;ROUNDUP(MONTH(Table1[[#This Row],[Order Date]])/3,0)</f>
        <v>Q4</v>
      </c>
      <c r="P410" t="str">
        <f>TEXT(Table1[[#This Row],[Order Date]],"MMM")</f>
        <v>Oct</v>
      </c>
      <c r="Q410">
        <f>MONTH(Table1[[#This Row],[Order Date]])</f>
        <v>10</v>
      </c>
    </row>
    <row r="411" spans="1:17" x14ac:dyDescent="0.25">
      <c r="A411" t="s">
        <v>827</v>
      </c>
      <c r="B411" s="2">
        <v>46320</v>
      </c>
      <c r="C411">
        <v>2026</v>
      </c>
      <c r="D411" t="s">
        <v>180</v>
      </c>
      <c r="E411" t="s">
        <v>461</v>
      </c>
      <c r="F411" t="s">
        <v>440</v>
      </c>
      <c r="G411" t="s">
        <v>441</v>
      </c>
      <c r="H411" t="s">
        <v>97</v>
      </c>
      <c r="I411" t="s">
        <v>42</v>
      </c>
      <c r="J411">
        <v>14</v>
      </c>
      <c r="K411">
        <v>393.95</v>
      </c>
      <c r="L411">
        <v>3223.9</v>
      </c>
      <c r="M411">
        <f>Table1[[#This Row],[Quantity Sold]]*Table1[[#This Row],[Unit Price]]</f>
        <v>5515.3</v>
      </c>
      <c r="N411">
        <f>Table1[[#This Row],[Sales Amount]]-Table1[[#This Row],[Cost Amount]]</f>
        <v>2291.4</v>
      </c>
      <c r="O411" t="str">
        <f>"Q"&amp;ROUNDUP(MONTH(Table1[[#This Row],[Order Date]])/3,0)</f>
        <v>Q4</v>
      </c>
      <c r="P411" t="str">
        <f>TEXT(Table1[[#This Row],[Order Date]],"MMM")</f>
        <v>Oct</v>
      </c>
      <c r="Q411">
        <f>MONTH(Table1[[#This Row],[Order Date]])</f>
        <v>10</v>
      </c>
    </row>
    <row r="412" spans="1:17" x14ac:dyDescent="0.25">
      <c r="A412" t="s">
        <v>828</v>
      </c>
      <c r="B412" s="2">
        <v>46211</v>
      </c>
      <c r="C412">
        <v>2026</v>
      </c>
      <c r="D412" t="s">
        <v>829</v>
      </c>
      <c r="E412" t="s">
        <v>439</v>
      </c>
      <c r="F412" t="s">
        <v>195</v>
      </c>
      <c r="G412" t="s">
        <v>196</v>
      </c>
      <c r="H412" t="s">
        <v>35</v>
      </c>
      <c r="I412" t="s">
        <v>23</v>
      </c>
      <c r="J412">
        <v>17</v>
      </c>
      <c r="K412">
        <v>40.25</v>
      </c>
      <c r="L412">
        <v>563.83000000000004</v>
      </c>
      <c r="M412">
        <f>Table1[[#This Row],[Quantity Sold]]*Table1[[#This Row],[Unit Price]]</f>
        <v>684.25</v>
      </c>
      <c r="N412">
        <f>Table1[[#This Row],[Sales Amount]]-Table1[[#This Row],[Cost Amount]]</f>
        <v>120.41999999999996</v>
      </c>
      <c r="O412" t="str">
        <f>"Q"&amp;ROUNDUP(MONTH(Table1[[#This Row],[Order Date]])/3,0)</f>
        <v>Q3</v>
      </c>
      <c r="P412" t="str">
        <f>TEXT(Table1[[#This Row],[Order Date]],"MMM")</f>
        <v>Jul</v>
      </c>
      <c r="Q412">
        <f>MONTH(Table1[[#This Row],[Order Date]])</f>
        <v>7</v>
      </c>
    </row>
    <row r="413" spans="1:17" x14ac:dyDescent="0.25">
      <c r="A413" t="s">
        <v>830</v>
      </c>
      <c r="B413" s="2">
        <v>46062</v>
      </c>
      <c r="C413">
        <v>2026</v>
      </c>
      <c r="D413" t="s">
        <v>434</v>
      </c>
      <c r="E413" t="s">
        <v>831</v>
      </c>
      <c r="F413" t="s">
        <v>169</v>
      </c>
      <c r="G413" t="s">
        <v>170</v>
      </c>
      <c r="H413" t="s">
        <v>22</v>
      </c>
      <c r="I413" t="s">
        <v>29</v>
      </c>
      <c r="J413">
        <v>10</v>
      </c>
      <c r="K413">
        <v>69.89</v>
      </c>
      <c r="L413">
        <v>420.11</v>
      </c>
      <c r="M413">
        <f>Table1[[#This Row],[Quantity Sold]]*Table1[[#This Row],[Unit Price]]</f>
        <v>698.9</v>
      </c>
      <c r="N413">
        <f>Table1[[#This Row],[Sales Amount]]-Table1[[#This Row],[Cost Amount]]</f>
        <v>278.78999999999996</v>
      </c>
      <c r="O413" t="str">
        <f>"Q"&amp;ROUNDUP(MONTH(Table1[[#This Row],[Order Date]])/3,0)</f>
        <v>Q1</v>
      </c>
      <c r="P413" t="str">
        <f>TEXT(Table1[[#This Row],[Order Date]],"MMM")</f>
        <v>Feb</v>
      </c>
      <c r="Q413">
        <f>MONTH(Table1[[#This Row],[Order Date]])</f>
        <v>2</v>
      </c>
    </row>
    <row r="414" spans="1:17" x14ac:dyDescent="0.25">
      <c r="A414" t="s">
        <v>832</v>
      </c>
      <c r="B414" s="2">
        <v>46296</v>
      </c>
      <c r="C414">
        <v>2026</v>
      </c>
      <c r="D414" t="s">
        <v>25</v>
      </c>
      <c r="E414" t="s">
        <v>833</v>
      </c>
      <c r="F414" t="s">
        <v>154</v>
      </c>
      <c r="G414" t="s">
        <v>155</v>
      </c>
      <c r="H414" t="s">
        <v>68</v>
      </c>
      <c r="I414" t="s">
        <v>23</v>
      </c>
      <c r="J414">
        <v>11</v>
      </c>
      <c r="K414">
        <v>145.1</v>
      </c>
      <c r="L414">
        <v>1180.55</v>
      </c>
      <c r="M414">
        <f>Table1[[#This Row],[Quantity Sold]]*Table1[[#This Row],[Unit Price]]</f>
        <v>1596.1</v>
      </c>
      <c r="N414">
        <f>Table1[[#This Row],[Sales Amount]]-Table1[[#This Row],[Cost Amount]]</f>
        <v>415.54999999999995</v>
      </c>
      <c r="O414" t="str">
        <f>"Q"&amp;ROUNDUP(MONTH(Table1[[#This Row],[Order Date]])/3,0)</f>
        <v>Q4</v>
      </c>
      <c r="P414" t="str">
        <f>TEXT(Table1[[#This Row],[Order Date]],"MMM")</f>
        <v>Oct</v>
      </c>
      <c r="Q414">
        <f>MONTH(Table1[[#This Row],[Order Date]])</f>
        <v>10</v>
      </c>
    </row>
    <row r="415" spans="1:17" x14ac:dyDescent="0.25">
      <c r="A415" t="s">
        <v>834</v>
      </c>
      <c r="B415" s="2">
        <v>46350</v>
      </c>
      <c r="C415">
        <v>2026</v>
      </c>
      <c r="D415" t="s">
        <v>54</v>
      </c>
      <c r="E415" t="s">
        <v>602</v>
      </c>
      <c r="F415" t="s">
        <v>440</v>
      </c>
      <c r="G415" t="s">
        <v>441</v>
      </c>
      <c r="H415" t="s">
        <v>97</v>
      </c>
      <c r="I415" t="s">
        <v>42</v>
      </c>
      <c r="J415">
        <v>5</v>
      </c>
      <c r="K415">
        <v>156.69999999999999</v>
      </c>
      <c r="L415">
        <v>578.53</v>
      </c>
      <c r="M415">
        <f>Table1[[#This Row],[Quantity Sold]]*Table1[[#This Row],[Unit Price]]</f>
        <v>783.5</v>
      </c>
      <c r="N415">
        <f>Table1[[#This Row],[Sales Amount]]-Table1[[#This Row],[Cost Amount]]</f>
        <v>204.97000000000003</v>
      </c>
      <c r="O415" t="str">
        <f>"Q"&amp;ROUNDUP(MONTH(Table1[[#This Row],[Order Date]])/3,0)</f>
        <v>Q4</v>
      </c>
      <c r="P415" t="str">
        <f>TEXT(Table1[[#This Row],[Order Date]],"MMM")</f>
        <v>Nov</v>
      </c>
      <c r="Q415">
        <f>MONTH(Table1[[#This Row],[Order Date]])</f>
        <v>11</v>
      </c>
    </row>
    <row r="416" spans="1:17" x14ac:dyDescent="0.25">
      <c r="A416" t="s">
        <v>835</v>
      </c>
      <c r="B416" s="2">
        <v>46223</v>
      </c>
      <c r="C416">
        <v>2026</v>
      </c>
      <c r="D416" t="s">
        <v>209</v>
      </c>
      <c r="E416" t="s">
        <v>823</v>
      </c>
      <c r="F416" t="s">
        <v>241</v>
      </c>
      <c r="G416" t="s">
        <v>242</v>
      </c>
      <c r="H416" t="s">
        <v>35</v>
      </c>
      <c r="I416" t="s">
        <v>52</v>
      </c>
      <c r="J416">
        <v>8</v>
      </c>
      <c r="K416">
        <v>344.5</v>
      </c>
      <c r="L416">
        <v>1598.47</v>
      </c>
      <c r="M416">
        <f>Table1[[#This Row],[Quantity Sold]]*Table1[[#This Row],[Unit Price]]</f>
        <v>2756</v>
      </c>
      <c r="N416">
        <f>Table1[[#This Row],[Sales Amount]]-Table1[[#This Row],[Cost Amount]]</f>
        <v>1157.53</v>
      </c>
      <c r="O416" t="str">
        <f>"Q"&amp;ROUNDUP(MONTH(Table1[[#This Row],[Order Date]])/3,0)</f>
        <v>Q3</v>
      </c>
      <c r="P416" t="str">
        <f>TEXT(Table1[[#This Row],[Order Date]],"MMM")</f>
        <v>Jul</v>
      </c>
      <c r="Q416">
        <f>MONTH(Table1[[#This Row],[Order Date]])</f>
        <v>7</v>
      </c>
    </row>
    <row r="417" spans="1:17" x14ac:dyDescent="0.25">
      <c r="A417" t="s">
        <v>836</v>
      </c>
      <c r="B417" s="2">
        <v>46358</v>
      </c>
      <c r="C417">
        <v>2026</v>
      </c>
      <c r="D417" t="s">
        <v>109</v>
      </c>
      <c r="E417" t="s">
        <v>386</v>
      </c>
      <c r="F417" t="s">
        <v>484</v>
      </c>
      <c r="G417" t="s">
        <v>485</v>
      </c>
      <c r="H417" t="s">
        <v>97</v>
      </c>
      <c r="I417" t="s">
        <v>29</v>
      </c>
      <c r="J417">
        <v>10</v>
      </c>
      <c r="K417">
        <v>184.53</v>
      </c>
      <c r="L417">
        <v>1402.27</v>
      </c>
      <c r="M417">
        <f>Table1[[#This Row],[Quantity Sold]]*Table1[[#This Row],[Unit Price]]</f>
        <v>1845.3</v>
      </c>
      <c r="N417">
        <f>Table1[[#This Row],[Sales Amount]]-Table1[[#This Row],[Cost Amount]]</f>
        <v>443.03</v>
      </c>
      <c r="O417" t="str">
        <f>"Q"&amp;ROUNDUP(MONTH(Table1[[#This Row],[Order Date]])/3,0)</f>
        <v>Q4</v>
      </c>
      <c r="P417" t="str">
        <f>TEXT(Table1[[#This Row],[Order Date]],"MMM")</f>
        <v>Dec</v>
      </c>
      <c r="Q417">
        <f>MONTH(Table1[[#This Row],[Order Date]])</f>
        <v>12</v>
      </c>
    </row>
    <row r="418" spans="1:17" x14ac:dyDescent="0.25">
      <c r="A418" t="s">
        <v>837</v>
      </c>
      <c r="B418" s="2">
        <v>46336</v>
      </c>
      <c r="C418">
        <v>2026</v>
      </c>
      <c r="D418" t="s">
        <v>157</v>
      </c>
      <c r="E418" t="s">
        <v>113</v>
      </c>
      <c r="F418" t="s">
        <v>27</v>
      </c>
      <c r="G418" t="s">
        <v>28</v>
      </c>
      <c r="H418" t="s">
        <v>22</v>
      </c>
      <c r="I418" t="s">
        <v>23</v>
      </c>
      <c r="J418">
        <v>12</v>
      </c>
      <c r="K418">
        <v>199.98</v>
      </c>
      <c r="L418">
        <v>1647.19</v>
      </c>
      <c r="M418">
        <f>Table1[[#This Row],[Quantity Sold]]*Table1[[#This Row],[Unit Price]]</f>
        <v>2399.7599999999998</v>
      </c>
      <c r="N418">
        <f>Table1[[#This Row],[Sales Amount]]-Table1[[#This Row],[Cost Amount]]</f>
        <v>752.56999999999971</v>
      </c>
      <c r="O418" t="str">
        <f>"Q"&amp;ROUNDUP(MONTH(Table1[[#This Row],[Order Date]])/3,0)</f>
        <v>Q4</v>
      </c>
      <c r="P418" t="str">
        <f>TEXT(Table1[[#This Row],[Order Date]],"MMM")</f>
        <v>Nov</v>
      </c>
      <c r="Q418">
        <f>MONTH(Table1[[#This Row],[Order Date]])</f>
        <v>11</v>
      </c>
    </row>
    <row r="419" spans="1:17" x14ac:dyDescent="0.25">
      <c r="A419" t="s">
        <v>838</v>
      </c>
      <c r="B419" s="2">
        <v>46095</v>
      </c>
      <c r="C419">
        <v>2026</v>
      </c>
      <c r="D419" t="s">
        <v>829</v>
      </c>
      <c r="E419" t="s">
        <v>839</v>
      </c>
      <c r="F419" t="s">
        <v>163</v>
      </c>
      <c r="G419" t="s">
        <v>164</v>
      </c>
      <c r="H419" t="s">
        <v>68</v>
      </c>
      <c r="I419" t="s">
        <v>23</v>
      </c>
      <c r="J419">
        <v>12</v>
      </c>
      <c r="K419">
        <v>245.29</v>
      </c>
      <c r="L419">
        <v>2053.31</v>
      </c>
      <c r="M419">
        <f>Table1[[#This Row],[Quantity Sold]]*Table1[[#This Row],[Unit Price]]</f>
        <v>2943.48</v>
      </c>
      <c r="N419">
        <f>Table1[[#This Row],[Sales Amount]]-Table1[[#This Row],[Cost Amount]]</f>
        <v>890.17000000000007</v>
      </c>
      <c r="O419" t="str">
        <f>"Q"&amp;ROUNDUP(MONTH(Table1[[#This Row],[Order Date]])/3,0)</f>
        <v>Q1</v>
      </c>
      <c r="P419" t="str">
        <f>TEXT(Table1[[#This Row],[Order Date]],"MMM")</f>
        <v>Mar</v>
      </c>
      <c r="Q419">
        <f>MONTH(Table1[[#This Row],[Order Date]])</f>
        <v>3</v>
      </c>
    </row>
    <row r="420" spans="1:17" x14ac:dyDescent="0.25">
      <c r="A420" t="s">
        <v>840</v>
      </c>
      <c r="B420" s="2">
        <v>46135</v>
      </c>
      <c r="C420">
        <v>2026</v>
      </c>
      <c r="D420" t="s">
        <v>157</v>
      </c>
      <c r="E420" t="s">
        <v>289</v>
      </c>
      <c r="F420" t="s">
        <v>293</v>
      </c>
      <c r="G420" t="s">
        <v>294</v>
      </c>
      <c r="H420" t="s">
        <v>68</v>
      </c>
      <c r="I420" t="s">
        <v>52</v>
      </c>
      <c r="J420">
        <v>12</v>
      </c>
      <c r="K420">
        <v>91.77</v>
      </c>
      <c r="L420">
        <v>634.57000000000005</v>
      </c>
      <c r="M420">
        <f>Table1[[#This Row],[Quantity Sold]]*Table1[[#This Row],[Unit Price]]</f>
        <v>1101.24</v>
      </c>
      <c r="N420">
        <f>Table1[[#This Row],[Sales Amount]]-Table1[[#This Row],[Cost Amount]]</f>
        <v>466.66999999999996</v>
      </c>
      <c r="O420" t="str">
        <f>"Q"&amp;ROUNDUP(MONTH(Table1[[#This Row],[Order Date]])/3,0)</f>
        <v>Q2</v>
      </c>
      <c r="P420" t="str">
        <f>TEXT(Table1[[#This Row],[Order Date]],"MMM")</f>
        <v>Apr</v>
      </c>
      <c r="Q420">
        <f>MONTH(Table1[[#This Row],[Order Date]])</f>
        <v>4</v>
      </c>
    </row>
    <row r="421" spans="1:17" x14ac:dyDescent="0.25">
      <c r="A421" t="s">
        <v>841</v>
      </c>
      <c r="B421" s="2">
        <v>46165</v>
      </c>
      <c r="C421">
        <v>2026</v>
      </c>
      <c r="D421" t="s">
        <v>31</v>
      </c>
      <c r="E421" t="s">
        <v>671</v>
      </c>
      <c r="F421" t="s">
        <v>163</v>
      </c>
      <c r="G421" t="s">
        <v>164</v>
      </c>
      <c r="H421" t="s">
        <v>68</v>
      </c>
      <c r="I421" t="s">
        <v>52</v>
      </c>
      <c r="J421">
        <v>20</v>
      </c>
      <c r="K421">
        <v>255.87</v>
      </c>
      <c r="L421">
        <v>3067.13</v>
      </c>
      <c r="M421">
        <f>Table1[[#This Row],[Quantity Sold]]*Table1[[#This Row],[Unit Price]]</f>
        <v>5117.3999999999996</v>
      </c>
      <c r="N421">
        <f>Table1[[#This Row],[Sales Amount]]-Table1[[#This Row],[Cost Amount]]</f>
        <v>2050.2699999999995</v>
      </c>
      <c r="O421" t="str">
        <f>"Q"&amp;ROUNDUP(MONTH(Table1[[#This Row],[Order Date]])/3,0)</f>
        <v>Q2</v>
      </c>
      <c r="P421" t="str">
        <f>TEXT(Table1[[#This Row],[Order Date]],"MMM")</f>
        <v>May</v>
      </c>
      <c r="Q421">
        <f>MONTH(Table1[[#This Row],[Order Date]])</f>
        <v>5</v>
      </c>
    </row>
    <row r="422" spans="1:17" x14ac:dyDescent="0.25">
      <c r="A422" t="s">
        <v>842</v>
      </c>
      <c r="B422" s="2">
        <v>46271</v>
      </c>
      <c r="C422">
        <v>2026</v>
      </c>
      <c r="D422" t="s">
        <v>112</v>
      </c>
      <c r="E422" t="s">
        <v>223</v>
      </c>
      <c r="F422" t="s">
        <v>399</v>
      </c>
      <c r="G422" t="s">
        <v>400</v>
      </c>
      <c r="H422" t="s">
        <v>22</v>
      </c>
      <c r="I422" t="s">
        <v>23</v>
      </c>
      <c r="J422">
        <v>2</v>
      </c>
      <c r="K422">
        <v>187.76</v>
      </c>
      <c r="L422">
        <v>246.69</v>
      </c>
      <c r="M422">
        <f>Table1[[#This Row],[Quantity Sold]]*Table1[[#This Row],[Unit Price]]</f>
        <v>375.52</v>
      </c>
      <c r="N422">
        <f>Table1[[#This Row],[Sales Amount]]-Table1[[#This Row],[Cost Amount]]</f>
        <v>128.82999999999998</v>
      </c>
      <c r="O422" t="str">
        <f>"Q"&amp;ROUNDUP(MONTH(Table1[[#This Row],[Order Date]])/3,0)</f>
        <v>Q3</v>
      </c>
      <c r="P422" t="str">
        <f>TEXT(Table1[[#This Row],[Order Date]],"MMM")</f>
        <v>Sep</v>
      </c>
      <c r="Q422">
        <f>MONTH(Table1[[#This Row],[Order Date]])</f>
        <v>9</v>
      </c>
    </row>
    <row r="423" spans="1:17" x14ac:dyDescent="0.25">
      <c r="A423" t="s">
        <v>843</v>
      </c>
      <c r="B423" s="2">
        <v>46379</v>
      </c>
      <c r="C423">
        <v>2026</v>
      </c>
      <c r="D423" t="s">
        <v>404</v>
      </c>
      <c r="E423" t="s">
        <v>128</v>
      </c>
      <c r="F423" t="s">
        <v>91</v>
      </c>
      <c r="G423" t="s">
        <v>92</v>
      </c>
      <c r="H423" t="s">
        <v>68</v>
      </c>
      <c r="I423" t="s">
        <v>42</v>
      </c>
      <c r="J423">
        <v>15</v>
      </c>
      <c r="K423">
        <v>150.11000000000001</v>
      </c>
      <c r="L423">
        <v>1497.83</v>
      </c>
      <c r="M423">
        <f>Table1[[#This Row],[Quantity Sold]]*Table1[[#This Row],[Unit Price]]</f>
        <v>2251.65</v>
      </c>
      <c r="N423">
        <f>Table1[[#This Row],[Sales Amount]]-Table1[[#This Row],[Cost Amount]]</f>
        <v>753.82000000000016</v>
      </c>
      <c r="O423" t="str">
        <f>"Q"&amp;ROUNDUP(MONTH(Table1[[#This Row],[Order Date]])/3,0)</f>
        <v>Q4</v>
      </c>
      <c r="P423" t="str">
        <f>TEXT(Table1[[#This Row],[Order Date]],"MMM")</f>
        <v>Dec</v>
      </c>
      <c r="Q423">
        <f>MONTH(Table1[[#This Row],[Order Date]])</f>
        <v>12</v>
      </c>
    </row>
    <row r="424" spans="1:17" x14ac:dyDescent="0.25">
      <c r="A424" t="s">
        <v>844</v>
      </c>
      <c r="B424" s="2">
        <v>46250</v>
      </c>
      <c r="C424">
        <v>2026</v>
      </c>
      <c r="D424" t="s">
        <v>284</v>
      </c>
      <c r="E424" t="s">
        <v>432</v>
      </c>
      <c r="F424" t="s">
        <v>20</v>
      </c>
      <c r="G424" t="s">
        <v>21</v>
      </c>
      <c r="H424" t="s">
        <v>22</v>
      </c>
      <c r="I424" t="s">
        <v>42</v>
      </c>
      <c r="J424">
        <v>15</v>
      </c>
      <c r="K424">
        <v>150.97999999999999</v>
      </c>
      <c r="L424">
        <v>1297.3</v>
      </c>
      <c r="M424">
        <f>Table1[[#This Row],[Quantity Sold]]*Table1[[#This Row],[Unit Price]]</f>
        <v>2264.6999999999998</v>
      </c>
      <c r="N424">
        <f>Table1[[#This Row],[Sales Amount]]-Table1[[#This Row],[Cost Amount]]</f>
        <v>967.39999999999986</v>
      </c>
      <c r="O424" t="str">
        <f>"Q"&amp;ROUNDUP(MONTH(Table1[[#This Row],[Order Date]])/3,0)</f>
        <v>Q3</v>
      </c>
      <c r="P424" t="str">
        <f>TEXT(Table1[[#This Row],[Order Date]],"MMM")</f>
        <v>Aug</v>
      </c>
      <c r="Q424">
        <f>MONTH(Table1[[#This Row],[Order Date]])</f>
        <v>8</v>
      </c>
    </row>
    <row r="425" spans="1:17" x14ac:dyDescent="0.25">
      <c r="A425" t="s">
        <v>845</v>
      </c>
      <c r="B425" s="2">
        <v>46210</v>
      </c>
      <c r="C425">
        <v>2026</v>
      </c>
      <c r="D425" t="s">
        <v>357</v>
      </c>
      <c r="E425" t="s">
        <v>252</v>
      </c>
      <c r="F425" t="s">
        <v>347</v>
      </c>
      <c r="G425" t="s">
        <v>348</v>
      </c>
      <c r="H425" t="s">
        <v>68</v>
      </c>
      <c r="I425" t="s">
        <v>29</v>
      </c>
      <c r="J425">
        <v>3</v>
      </c>
      <c r="K425">
        <v>284.04000000000002</v>
      </c>
      <c r="L425">
        <v>613.94000000000005</v>
      </c>
      <c r="M425">
        <f>Table1[[#This Row],[Quantity Sold]]*Table1[[#This Row],[Unit Price]]</f>
        <v>852.12000000000012</v>
      </c>
      <c r="N425">
        <f>Table1[[#This Row],[Sales Amount]]-Table1[[#This Row],[Cost Amount]]</f>
        <v>238.18000000000006</v>
      </c>
      <c r="O425" t="str">
        <f>"Q"&amp;ROUNDUP(MONTH(Table1[[#This Row],[Order Date]])/3,0)</f>
        <v>Q3</v>
      </c>
      <c r="P425" t="str">
        <f>TEXT(Table1[[#This Row],[Order Date]],"MMM")</f>
        <v>Jul</v>
      </c>
      <c r="Q425">
        <f>MONTH(Table1[[#This Row],[Order Date]])</f>
        <v>7</v>
      </c>
    </row>
    <row r="426" spans="1:17" x14ac:dyDescent="0.25">
      <c r="A426" t="s">
        <v>846</v>
      </c>
      <c r="B426" s="2">
        <v>46144</v>
      </c>
      <c r="C426">
        <v>2026</v>
      </c>
      <c r="D426" t="s">
        <v>244</v>
      </c>
      <c r="E426" t="s">
        <v>297</v>
      </c>
      <c r="F426" t="s">
        <v>233</v>
      </c>
      <c r="G426" t="s">
        <v>234</v>
      </c>
      <c r="H426" t="s">
        <v>51</v>
      </c>
      <c r="I426" t="s">
        <v>23</v>
      </c>
      <c r="J426">
        <v>13</v>
      </c>
      <c r="K426">
        <v>379.63</v>
      </c>
      <c r="L426">
        <v>3950.52</v>
      </c>
      <c r="M426">
        <f>Table1[[#This Row],[Quantity Sold]]*Table1[[#This Row],[Unit Price]]</f>
        <v>4935.1899999999996</v>
      </c>
      <c r="N426">
        <f>Table1[[#This Row],[Sales Amount]]-Table1[[#This Row],[Cost Amount]]</f>
        <v>984.66999999999962</v>
      </c>
      <c r="O426" t="str">
        <f>"Q"&amp;ROUNDUP(MONTH(Table1[[#This Row],[Order Date]])/3,0)</f>
        <v>Q2</v>
      </c>
      <c r="P426" t="str">
        <f>TEXT(Table1[[#This Row],[Order Date]],"MMM")</f>
        <v>May</v>
      </c>
      <c r="Q426">
        <f>MONTH(Table1[[#This Row],[Order Date]])</f>
        <v>5</v>
      </c>
    </row>
    <row r="427" spans="1:17" x14ac:dyDescent="0.25">
      <c r="A427" t="s">
        <v>847</v>
      </c>
      <c r="B427" s="2">
        <v>46352</v>
      </c>
      <c r="C427">
        <v>2026</v>
      </c>
      <c r="D427" t="s">
        <v>257</v>
      </c>
      <c r="E427" t="s">
        <v>304</v>
      </c>
      <c r="F427" t="s">
        <v>323</v>
      </c>
      <c r="G427" t="s">
        <v>324</v>
      </c>
      <c r="H427" t="s">
        <v>68</v>
      </c>
      <c r="I427" t="s">
        <v>23</v>
      </c>
      <c r="J427">
        <v>15</v>
      </c>
      <c r="K427">
        <v>485.71</v>
      </c>
      <c r="L427">
        <v>5115.3599999999997</v>
      </c>
      <c r="M427">
        <f>Table1[[#This Row],[Quantity Sold]]*Table1[[#This Row],[Unit Price]]</f>
        <v>7285.65</v>
      </c>
      <c r="N427">
        <f>Table1[[#This Row],[Sales Amount]]-Table1[[#This Row],[Cost Amount]]</f>
        <v>2170.29</v>
      </c>
      <c r="O427" t="str">
        <f>"Q"&amp;ROUNDUP(MONTH(Table1[[#This Row],[Order Date]])/3,0)</f>
        <v>Q4</v>
      </c>
      <c r="P427" t="str">
        <f>TEXT(Table1[[#This Row],[Order Date]],"MMM")</f>
        <v>Nov</v>
      </c>
      <c r="Q427">
        <f>MONTH(Table1[[#This Row],[Order Date]])</f>
        <v>11</v>
      </c>
    </row>
    <row r="428" spans="1:17" x14ac:dyDescent="0.25">
      <c r="A428" t="s">
        <v>848</v>
      </c>
      <c r="B428" s="2">
        <v>46327</v>
      </c>
      <c r="C428">
        <v>2026</v>
      </c>
      <c r="D428" t="s">
        <v>291</v>
      </c>
      <c r="E428" t="s">
        <v>779</v>
      </c>
      <c r="F428" t="s">
        <v>39</v>
      </c>
      <c r="G428" t="s">
        <v>40</v>
      </c>
      <c r="H428" t="s">
        <v>41</v>
      </c>
      <c r="I428" t="s">
        <v>52</v>
      </c>
      <c r="J428">
        <v>6</v>
      </c>
      <c r="K428">
        <v>452.93</v>
      </c>
      <c r="L428">
        <v>1660.7</v>
      </c>
      <c r="M428">
        <f>Table1[[#This Row],[Quantity Sold]]*Table1[[#This Row],[Unit Price]]</f>
        <v>2717.58</v>
      </c>
      <c r="N428">
        <f>Table1[[#This Row],[Sales Amount]]-Table1[[#This Row],[Cost Amount]]</f>
        <v>1056.8799999999999</v>
      </c>
      <c r="O428" t="str">
        <f>"Q"&amp;ROUNDUP(MONTH(Table1[[#This Row],[Order Date]])/3,0)</f>
        <v>Q4</v>
      </c>
      <c r="P428" t="str">
        <f>TEXT(Table1[[#This Row],[Order Date]],"MMM")</f>
        <v>Nov</v>
      </c>
      <c r="Q428">
        <f>MONTH(Table1[[#This Row],[Order Date]])</f>
        <v>11</v>
      </c>
    </row>
    <row r="429" spans="1:17" x14ac:dyDescent="0.25">
      <c r="A429" t="s">
        <v>849</v>
      </c>
      <c r="B429" s="2">
        <v>46234</v>
      </c>
      <c r="C429">
        <v>2026</v>
      </c>
      <c r="D429" t="s">
        <v>64</v>
      </c>
      <c r="E429" t="s">
        <v>380</v>
      </c>
      <c r="F429" t="s">
        <v>27</v>
      </c>
      <c r="G429" t="s">
        <v>28</v>
      </c>
      <c r="H429" t="s">
        <v>22</v>
      </c>
      <c r="I429" t="s">
        <v>23</v>
      </c>
      <c r="J429">
        <v>12</v>
      </c>
      <c r="K429">
        <v>384.68</v>
      </c>
      <c r="L429">
        <v>2669.8</v>
      </c>
      <c r="M429">
        <f>Table1[[#This Row],[Quantity Sold]]*Table1[[#This Row],[Unit Price]]</f>
        <v>4616.16</v>
      </c>
      <c r="N429">
        <f>Table1[[#This Row],[Sales Amount]]-Table1[[#This Row],[Cost Amount]]</f>
        <v>1946.3599999999997</v>
      </c>
      <c r="O429" t="str">
        <f>"Q"&amp;ROUNDUP(MONTH(Table1[[#This Row],[Order Date]])/3,0)</f>
        <v>Q3</v>
      </c>
      <c r="P429" t="str">
        <f>TEXT(Table1[[#This Row],[Order Date]],"MMM")</f>
        <v>Jul</v>
      </c>
      <c r="Q429">
        <f>MONTH(Table1[[#This Row],[Order Date]])</f>
        <v>7</v>
      </c>
    </row>
    <row r="430" spans="1:17" x14ac:dyDescent="0.25">
      <c r="A430" t="s">
        <v>850</v>
      </c>
      <c r="B430" s="2">
        <v>46056</v>
      </c>
      <c r="C430">
        <v>2026</v>
      </c>
      <c r="D430" t="s">
        <v>630</v>
      </c>
      <c r="E430" t="s">
        <v>748</v>
      </c>
      <c r="F430" t="s">
        <v>218</v>
      </c>
      <c r="G430" t="s">
        <v>219</v>
      </c>
      <c r="H430" t="s">
        <v>220</v>
      </c>
      <c r="I430" t="s">
        <v>23</v>
      </c>
      <c r="J430">
        <v>15</v>
      </c>
      <c r="K430">
        <v>75.790000000000006</v>
      </c>
      <c r="L430">
        <v>842.76</v>
      </c>
      <c r="M430">
        <f>Table1[[#This Row],[Quantity Sold]]*Table1[[#This Row],[Unit Price]]</f>
        <v>1136.8500000000001</v>
      </c>
      <c r="N430">
        <f>Table1[[#This Row],[Sales Amount]]-Table1[[#This Row],[Cost Amount]]</f>
        <v>294.09000000000015</v>
      </c>
      <c r="O430" t="str">
        <f>"Q"&amp;ROUNDUP(MONTH(Table1[[#This Row],[Order Date]])/3,0)</f>
        <v>Q1</v>
      </c>
      <c r="P430" t="str">
        <f>TEXT(Table1[[#This Row],[Order Date]],"MMM")</f>
        <v>Feb</v>
      </c>
      <c r="Q430">
        <f>MONTH(Table1[[#This Row],[Order Date]])</f>
        <v>2</v>
      </c>
    </row>
    <row r="431" spans="1:17" x14ac:dyDescent="0.25">
      <c r="A431" t="s">
        <v>851</v>
      </c>
      <c r="B431" s="2">
        <v>46094</v>
      </c>
      <c r="C431">
        <v>2026</v>
      </c>
      <c r="D431" t="s">
        <v>37</v>
      </c>
      <c r="E431" t="s">
        <v>628</v>
      </c>
      <c r="F431" t="s">
        <v>317</v>
      </c>
      <c r="G431" t="s">
        <v>318</v>
      </c>
      <c r="H431" t="s">
        <v>22</v>
      </c>
      <c r="I431" t="s">
        <v>23</v>
      </c>
      <c r="J431">
        <v>1</v>
      </c>
      <c r="K431">
        <v>199.87</v>
      </c>
      <c r="L431">
        <v>142.29</v>
      </c>
      <c r="M431">
        <f>Table1[[#This Row],[Quantity Sold]]*Table1[[#This Row],[Unit Price]]</f>
        <v>199.87</v>
      </c>
      <c r="N431">
        <f>Table1[[#This Row],[Sales Amount]]-Table1[[#This Row],[Cost Amount]]</f>
        <v>57.580000000000013</v>
      </c>
      <c r="O431" t="str">
        <f>"Q"&amp;ROUNDUP(MONTH(Table1[[#This Row],[Order Date]])/3,0)</f>
        <v>Q1</v>
      </c>
      <c r="P431" t="str">
        <f>TEXT(Table1[[#This Row],[Order Date]],"MMM")</f>
        <v>Mar</v>
      </c>
      <c r="Q431">
        <f>MONTH(Table1[[#This Row],[Order Date]])</f>
        <v>3</v>
      </c>
    </row>
    <row r="432" spans="1:17" x14ac:dyDescent="0.25">
      <c r="A432" t="s">
        <v>852</v>
      </c>
      <c r="B432" s="2">
        <v>46301</v>
      </c>
      <c r="C432">
        <v>2026</v>
      </c>
      <c r="D432" t="s">
        <v>44</v>
      </c>
      <c r="E432" t="s">
        <v>631</v>
      </c>
      <c r="F432" t="s">
        <v>347</v>
      </c>
      <c r="G432" t="s">
        <v>348</v>
      </c>
      <c r="H432" t="s">
        <v>68</v>
      </c>
      <c r="I432" t="s">
        <v>42</v>
      </c>
      <c r="J432">
        <v>9</v>
      </c>
      <c r="K432">
        <v>84.24</v>
      </c>
      <c r="L432">
        <v>534.59</v>
      </c>
      <c r="M432">
        <f>Table1[[#This Row],[Quantity Sold]]*Table1[[#This Row],[Unit Price]]</f>
        <v>758.16</v>
      </c>
      <c r="N432">
        <f>Table1[[#This Row],[Sales Amount]]-Table1[[#This Row],[Cost Amount]]</f>
        <v>223.56999999999994</v>
      </c>
      <c r="O432" t="str">
        <f>"Q"&amp;ROUNDUP(MONTH(Table1[[#This Row],[Order Date]])/3,0)</f>
        <v>Q4</v>
      </c>
      <c r="P432" t="str">
        <f>TEXT(Table1[[#This Row],[Order Date]],"MMM")</f>
        <v>Oct</v>
      </c>
      <c r="Q432">
        <f>MONTH(Table1[[#This Row],[Order Date]])</f>
        <v>10</v>
      </c>
    </row>
    <row r="433" spans="1:17" x14ac:dyDescent="0.25">
      <c r="A433" t="s">
        <v>853</v>
      </c>
      <c r="B433" s="2">
        <v>46122</v>
      </c>
      <c r="C433">
        <v>2026</v>
      </c>
      <c r="D433" t="s">
        <v>232</v>
      </c>
      <c r="E433" t="s">
        <v>791</v>
      </c>
      <c r="F433" t="s">
        <v>215</v>
      </c>
      <c r="G433" t="s">
        <v>216</v>
      </c>
      <c r="H433" t="s">
        <v>51</v>
      </c>
      <c r="I433" t="s">
        <v>52</v>
      </c>
      <c r="J433">
        <v>8</v>
      </c>
      <c r="K433">
        <v>407.55</v>
      </c>
      <c r="L433">
        <v>1955.54</v>
      </c>
      <c r="M433">
        <f>Table1[[#This Row],[Quantity Sold]]*Table1[[#This Row],[Unit Price]]</f>
        <v>3260.4</v>
      </c>
      <c r="N433">
        <f>Table1[[#This Row],[Sales Amount]]-Table1[[#This Row],[Cost Amount]]</f>
        <v>1304.8600000000001</v>
      </c>
      <c r="O433" t="str">
        <f>"Q"&amp;ROUNDUP(MONTH(Table1[[#This Row],[Order Date]])/3,0)</f>
        <v>Q2</v>
      </c>
      <c r="P433" t="str">
        <f>TEXT(Table1[[#This Row],[Order Date]],"MMM")</f>
        <v>Apr</v>
      </c>
      <c r="Q433">
        <f>MONTH(Table1[[#This Row],[Order Date]])</f>
        <v>4</v>
      </c>
    </row>
    <row r="434" spans="1:17" x14ac:dyDescent="0.25">
      <c r="A434" t="s">
        <v>854</v>
      </c>
      <c r="B434" s="2">
        <v>46331</v>
      </c>
      <c r="C434">
        <v>2026</v>
      </c>
      <c r="D434" t="s">
        <v>552</v>
      </c>
      <c r="E434" t="s">
        <v>201</v>
      </c>
      <c r="F434" t="s">
        <v>163</v>
      </c>
      <c r="G434" t="s">
        <v>164</v>
      </c>
      <c r="H434" t="s">
        <v>68</v>
      </c>
      <c r="I434" t="s">
        <v>29</v>
      </c>
      <c r="J434">
        <v>13</v>
      </c>
      <c r="K434">
        <v>246.01</v>
      </c>
      <c r="L434">
        <v>2619.58</v>
      </c>
      <c r="M434">
        <f>Table1[[#This Row],[Quantity Sold]]*Table1[[#This Row],[Unit Price]]</f>
        <v>3198.13</v>
      </c>
      <c r="N434">
        <f>Table1[[#This Row],[Sales Amount]]-Table1[[#This Row],[Cost Amount]]</f>
        <v>578.55000000000018</v>
      </c>
      <c r="O434" t="str">
        <f>"Q"&amp;ROUNDUP(MONTH(Table1[[#This Row],[Order Date]])/3,0)</f>
        <v>Q4</v>
      </c>
      <c r="P434" t="str">
        <f>TEXT(Table1[[#This Row],[Order Date]],"MMM")</f>
        <v>Nov</v>
      </c>
      <c r="Q434">
        <f>MONTH(Table1[[#This Row],[Order Date]])</f>
        <v>11</v>
      </c>
    </row>
    <row r="435" spans="1:17" x14ac:dyDescent="0.25">
      <c r="A435" t="s">
        <v>855</v>
      </c>
      <c r="B435" s="2">
        <v>46306</v>
      </c>
      <c r="C435">
        <v>2026</v>
      </c>
      <c r="D435" t="s">
        <v>750</v>
      </c>
      <c r="E435" t="s">
        <v>122</v>
      </c>
      <c r="F435" t="s">
        <v>190</v>
      </c>
      <c r="G435" t="s">
        <v>191</v>
      </c>
      <c r="H435" t="s">
        <v>35</v>
      </c>
      <c r="I435" t="s">
        <v>23</v>
      </c>
      <c r="J435">
        <v>6</v>
      </c>
      <c r="K435">
        <v>277</v>
      </c>
      <c r="L435">
        <v>1179.8800000000001</v>
      </c>
      <c r="M435">
        <f>Table1[[#This Row],[Quantity Sold]]*Table1[[#This Row],[Unit Price]]</f>
        <v>1662</v>
      </c>
      <c r="N435">
        <f>Table1[[#This Row],[Sales Amount]]-Table1[[#This Row],[Cost Amount]]</f>
        <v>482.11999999999989</v>
      </c>
      <c r="O435" t="str">
        <f>"Q"&amp;ROUNDUP(MONTH(Table1[[#This Row],[Order Date]])/3,0)</f>
        <v>Q4</v>
      </c>
      <c r="P435" t="str">
        <f>TEXT(Table1[[#This Row],[Order Date]],"MMM")</f>
        <v>Oct</v>
      </c>
      <c r="Q435">
        <f>MONTH(Table1[[#This Row],[Order Date]])</f>
        <v>10</v>
      </c>
    </row>
    <row r="436" spans="1:17" x14ac:dyDescent="0.25">
      <c r="A436" t="s">
        <v>856</v>
      </c>
      <c r="B436" s="2">
        <v>46152</v>
      </c>
      <c r="C436">
        <v>2026</v>
      </c>
      <c r="D436" t="s">
        <v>559</v>
      </c>
      <c r="E436" t="s">
        <v>742</v>
      </c>
      <c r="F436" t="s">
        <v>293</v>
      </c>
      <c r="G436" t="s">
        <v>294</v>
      </c>
      <c r="H436" t="s">
        <v>68</v>
      </c>
      <c r="I436" t="s">
        <v>42</v>
      </c>
      <c r="J436">
        <v>17</v>
      </c>
      <c r="K436">
        <v>443.24</v>
      </c>
      <c r="L436">
        <v>5410.22</v>
      </c>
      <c r="M436">
        <f>Table1[[#This Row],[Quantity Sold]]*Table1[[#This Row],[Unit Price]]</f>
        <v>7535.08</v>
      </c>
      <c r="N436">
        <f>Table1[[#This Row],[Sales Amount]]-Table1[[#This Row],[Cost Amount]]</f>
        <v>2124.8599999999997</v>
      </c>
      <c r="O436" t="str">
        <f>"Q"&amp;ROUNDUP(MONTH(Table1[[#This Row],[Order Date]])/3,0)</f>
        <v>Q2</v>
      </c>
      <c r="P436" t="str">
        <f>TEXT(Table1[[#This Row],[Order Date]],"MMM")</f>
        <v>May</v>
      </c>
      <c r="Q436">
        <f>MONTH(Table1[[#This Row],[Order Date]])</f>
        <v>5</v>
      </c>
    </row>
    <row r="437" spans="1:17" x14ac:dyDescent="0.25">
      <c r="A437" t="s">
        <v>857</v>
      </c>
      <c r="B437" s="2">
        <v>46075</v>
      </c>
      <c r="C437">
        <v>2026</v>
      </c>
      <c r="D437" t="s">
        <v>750</v>
      </c>
      <c r="E437" t="s">
        <v>168</v>
      </c>
      <c r="F437" t="s">
        <v>134</v>
      </c>
      <c r="G437" t="s">
        <v>135</v>
      </c>
      <c r="H437" t="s">
        <v>22</v>
      </c>
      <c r="I437" t="s">
        <v>42</v>
      </c>
      <c r="J437">
        <v>4</v>
      </c>
      <c r="K437">
        <v>499.07</v>
      </c>
      <c r="L437">
        <v>1506.94</v>
      </c>
      <c r="M437">
        <f>Table1[[#This Row],[Quantity Sold]]*Table1[[#This Row],[Unit Price]]</f>
        <v>1996.28</v>
      </c>
      <c r="N437">
        <f>Table1[[#This Row],[Sales Amount]]-Table1[[#This Row],[Cost Amount]]</f>
        <v>489.33999999999992</v>
      </c>
      <c r="O437" t="str">
        <f>"Q"&amp;ROUNDUP(MONTH(Table1[[#This Row],[Order Date]])/3,0)</f>
        <v>Q1</v>
      </c>
      <c r="P437" t="str">
        <f>TEXT(Table1[[#This Row],[Order Date]],"MMM")</f>
        <v>Feb</v>
      </c>
      <c r="Q437">
        <f>MONTH(Table1[[#This Row],[Order Date]])</f>
        <v>2</v>
      </c>
    </row>
    <row r="438" spans="1:17" x14ac:dyDescent="0.25">
      <c r="A438" t="s">
        <v>858</v>
      </c>
      <c r="B438" s="2">
        <v>46209</v>
      </c>
      <c r="C438">
        <v>2026</v>
      </c>
      <c r="D438" t="s">
        <v>180</v>
      </c>
      <c r="E438" t="s">
        <v>105</v>
      </c>
      <c r="F438" t="s">
        <v>66</v>
      </c>
      <c r="G438" t="s">
        <v>67</v>
      </c>
      <c r="H438" t="s">
        <v>68</v>
      </c>
      <c r="I438" t="s">
        <v>52</v>
      </c>
      <c r="J438">
        <v>7</v>
      </c>
      <c r="K438">
        <v>431.12</v>
      </c>
      <c r="L438">
        <v>2003.11</v>
      </c>
      <c r="M438">
        <f>Table1[[#This Row],[Quantity Sold]]*Table1[[#This Row],[Unit Price]]</f>
        <v>3017.84</v>
      </c>
      <c r="N438">
        <f>Table1[[#This Row],[Sales Amount]]-Table1[[#This Row],[Cost Amount]]</f>
        <v>1014.7300000000002</v>
      </c>
      <c r="O438" t="str">
        <f>"Q"&amp;ROUNDUP(MONTH(Table1[[#This Row],[Order Date]])/3,0)</f>
        <v>Q3</v>
      </c>
      <c r="P438" t="str">
        <f>TEXT(Table1[[#This Row],[Order Date]],"MMM")</f>
        <v>Jul</v>
      </c>
      <c r="Q438">
        <f>MONTH(Table1[[#This Row],[Order Date]])</f>
        <v>7</v>
      </c>
    </row>
    <row r="439" spans="1:17" x14ac:dyDescent="0.25">
      <c r="A439" t="s">
        <v>859</v>
      </c>
      <c r="B439" s="2">
        <v>46215</v>
      </c>
      <c r="C439">
        <v>2026</v>
      </c>
      <c r="D439" t="s">
        <v>227</v>
      </c>
      <c r="E439" t="s">
        <v>390</v>
      </c>
      <c r="F439" t="s">
        <v>83</v>
      </c>
      <c r="G439" t="s">
        <v>84</v>
      </c>
      <c r="H439" t="s">
        <v>35</v>
      </c>
      <c r="I439" t="s">
        <v>42</v>
      </c>
      <c r="J439">
        <v>5</v>
      </c>
      <c r="K439">
        <v>81.93</v>
      </c>
      <c r="L439">
        <v>315.45999999999998</v>
      </c>
      <c r="M439">
        <f>Table1[[#This Row],[Quantity Sold]]*Table1[[#This Row],[Unit Price]]</f>
        <v>409.65000000000003</v>
      </c>
      <c r="N439">
        <f>Table1[[#This Row],[Sales Amount]]-Table1[[#This Row],[Cost Amount]]</f>
        <v>94.190000000000055</v>
      </c>
      <c r="O439" t="str">
        <f>"Q"&amp;ROUNDUP(MONTH(Table1[[#This Row],[Order Date]])/3,0)</f>
        <v>Q3</v>
      </c>
      <c r="P439" t="str">
        <f>TEXT(Table1[[#This Row],[Order Date]],"MMM")</f>
        <v>Jul</v>
      </c>
      <c r="Q439">
        <f>MONTH(Table1[[#This Row],[Order Date]])</f>
        <v>7</v>
      </c>
    </row>
    <row r="440" spans="1:17" x14ac:dyDescent="0.25">
      <c r="A440" t="s">
        <v>860</v>
      </c>
      <c r="B440" s="2">
        <v>46301</v>
      </c>
      <c r="C440">
        <v>2026</v>
      </c>
      <c r="D440" t="s">
        <v>415</v>
      </c>
      <c r="E440" t="s">
        <v>255</v>
      </c>
      <c r="F440" t="s">
        <v>173</v>
      </c>
      <c r="G440" t="s">
        <v>174</v>
      </c>
      <c r="H440" t="s">
        <v>22</v>
      </c>
      <c r="I440" t="s">
        <v>52</v>
      </c>
      <c r="J440">
        <v>17</v>
      </c>
      <c r="K440">
        <v>201.68</v>
      </c>
      <c r="L440">
        <v>2471.94</v>
      </c>
      <c r="M440">
        <f>Table1[[#This Row],[Quantity Sold]]*Table1[[#This Row],[Unit Price]]</f>
        <v>3428.56</v>
      </c>
      <c r="N440">
        <f>Table1[[#This Row],[Sales Amount]]-Table1[[#This Row],[Cost Amount]]</f>
        <v>956.61999999999989</v>
      </c>
      <c r="O440" t="str">
        <f>"Q"&amp;ROUNDUP(MONTH(Table1[[#This Row],[Order Date]])/3,0)</f>
        <v>Q4</v>
      </c>
      <c r="P440" t="str">
        <f>TEXT(Table1[[#This Row],[Order Date]],"MMM")</f>
        <v>Oct</v>
      </c>
      <c r="Q440">
        <f>MONTH(Table1[[#This Row],[Order Date]])</f>
        <v>10</v>
      </c>
    </row>
    <row r="441" spans="1:17" x14ac:dyDescent="0.25">
      <c r="A441" t="s">
        <v>861</v>
      </c>
      <c r="B441" s="2">
        <v>46186</v>
      </c>
      <c r="C441">
        <v>2026</v>
      </c>
      <c r="D441" t="s">
        <v>398</v>
      </c>
      <c r="E441" t="s">
        <v>583</v>
      </c>
      <c r="F441" t="s">
        <v>134</v>
      </c>
      <c r="G441" t="s">
        <v>135</v>
      </c>
      <c r="H441" t="s">
        <v>22</v>
      </c>
      <c r="I441" t="s">
        <v>29</v>
      </c>
      <c r="J441">
        <v>10</v>
      </c>
      <c r="K441">
        <v>448.58</v>
      </c>
      <c r="L441">
        <v>3340.35</v>
      </c>
      <c r="M441">
        <f>Table1[[#This Row],[Quantity Sold]]*Table1[[#This Row],[Unit Price]]</f>
        <v>4485.8</v>
      </c>
      <c r="N441">
        <f>Table1[[#This Row],[Sales Amount]]-Table1[[#This Row],[Cost Amount]]</f>
        <v>1145.4500000000003</v>
      </c>
      <c r="O441" t="str">
        <f>"Q"&amp;ROUNDUP(MONTH(Table1[[#This Row],[Order Date]])/3,0)</f>
        <v>Q2</v>
      </c>
      <c r="P441" t="str">
        <f>TEXT(Table1[[#This Row],[Order Date]],"MMM")</f>
        <v>Jun</v>
      </c>
      <c r="Q441">
        <f>MONTH(Table1[[#This Row],[Order Date]])</f>
        <v>6</v>
      </c>
    </row>
    <row r="442" spans="1:17" x14ac:dyDescent="0.25">
      <c r="A442" t="s">
        <v>862</v>
      </c>
      <c r="B442" s="2">
        <v>46248</v>
      </c>
      <c r="C442">
        <v>2026</v>
      </c>
      <c r="D442" t="s">
        <v>417</v>
      </c>
      <c r="E442" t="s">
        <v>116</v>
      </c>
      <c r="F442" t="s">
        <v>233</v>
      </c>
      <c r="G442" t="s">
        <v>234</v>
      </c>
      <c r="H442" t="s">
        <v>51</v>
      </c>
      <c r="I442" t="s">
        <v>42</v>
      </c>
      <c r="J442">
        <v>16</v>
      </c>
      <c r="K442">
        <v>435.02</v>
      </c>
      <c r="L442">
        <v>4877.8999999999996</v>
      </c>
      <c r="M442">
        <f>Table1[[#This Row],[Quantity Sold]]*Table1[[#This Row],[Unit Price]]</f>
        <v>6960.32</v>
      </c>
      <c r="N442">
        <f>Table1[[#This Row],[Sales Amount]]-Table1[[#This Row],[Cost Amount]]</f>
        <v>2082.42</v>
      </c>
      <c r="O442" t="str">
        <f>"Q"&amp;ROUNDUP(MONTH(Table1[[#This Row],[Order Date]])/3,0)</f>
        <v>Q3</v>
      </c>
      <c r="P442" t="str">
        <f>TEXT(Table1[[#This Row],[Order Date]],"MMM")</f>
        <v>Aug</v>
      </c>
      <c r="Q442">
        <f>MONTH(Table1[[#This Row],[Order Date]])</f>
        <v>8</v>
      </c>
    </row>
    <row r="443" spans="1:17" x14ac:dyDescent="0.25">
      <c r="A443" t="s">
        <v>863</v>
      </c>
      <c r="B443" s="2">
        <v>46121</v>
      </c>
      <c r="C443">
        <v>2026</v>
      </c>
      <c r="D443" t="s">
        <v>379</v>
      </c>
      <c r="E443" t="s">
        <v>690</v>
      </c>
      <c r="F443" t="s">
        <v>347</v>
      </c>
      <c r="G443" t="s">
        <v>348</v>
      </c>
      <c r="H443" t="s">
        <v>68</v>
      </c>
      <c r="I443" t="s">
        <v>42</v>
      </c>
      <c r="J443">
        <v>12</v>
      </c>
      <c r="K443">
        <v>238.68</v>
      </c>
      <c r="L443">
        <v>1837.93</v>
      </c>
      <c r="M443">
        <f>Table1[[#This Row],[Quantity Sold]]*Table1[[#This Row],[Unit Price]]</f>
        <v>2864.16</v>
      </c>
      <c r="N443">
        <f>Table1[[#This Row],[Sales Amount]]-Table1[[#This Row],[Cost Amount]]</f>
        <v>1026.2299999999998</v>
      </c>
      <c r="O443" t="str">
        <f>"Q"&amp;ROUNDUP(MONTH(Table1[[#This Row],[Order Date]])/3,0)</f>
        <v>Q2</v>
      </c>
      <c r="P443" t="str">
        <f>TEXT(Table1[[#This Row],[Order Date]],"MMM")</f>
        <v>Apr</v>
      </c>
      <c r="Q443">
        <f>MONTH(Table1[[#This Row],[Order Date]])</f>
        <v>4</v>
      </c>
    </row>
    <row r="444" spans="1:17" x14ac:dyDescent="0.25">
      <c r="A444" t="s">
        <v>864</v>
      </c>
      <c r="B444" s="2">
        <v>46080</v>
      </c>
      <c r="C444">
        <v>2026</v>
      </c>
      <c r="D444" t="s">
        <v>865</v>
      </c>
      <c r="E444" t="s">
        <v>866</v>
      </c>
      <c r="F444" t="s">
        <v>72</v>
      </c>
      <c r="G444" t="s">
        <v>73</v>
      </c>
      <c r="H444" t="s">
        <v>41</v>
      </c>
      <c r="I444" t="s">
        <v>29</v>
      </c>
      <c r="J444">
        <v>15</v>
      </c>
      <c r="K444">
        <v>267.85000000000002</v>
      </c>
      <c r="L444">
        <v>2735.93</v>
      </c>
      <c r="M444">
        <f>Table1[[#This Row],[Quantity Sold]]*Table1[[#This Row],[Unit Price]]</f>
        <v>4017.7500000000005</v>
      </c>
      <c r="N444">
        <f>Table1[[#This Row],[Sales Amount]]-Table1[[#This Row],[Cost Amount]]</f>
        <v>1281.8200000000006</v>
      </c>
      <c r="O444" t="str">
        <f>"Q"&amp;ROUNDUP(MONTH(Table1[[#This Row],[Order Date]])/3,0)</f>
        <v>Q1</v>
      </c>
      <c r="P444" t="str">
        <f>TEXT(Table1[[#This Row],[Order Date]],"MMM")</f>
        <v>Feb</v>
      </c>
      <c r="Q444">
        <f>MONTH(Table1[[#This Row],[Order Date]])</f>
        <v>2</v>
      </c>
    </row>
    <row r="445" spans="1:17" x14ac:dyDescent="0.25">
      <c r="A445" t="s">
        <v>867</v>
      </c>
      <c r="B445" s="2">
        <v>46089</v>
      </c>
      <c r="C445">
        <v>2026</v>
      </c>
      <c r="D445" t="s">
        <v>377</v>
      </c>
      <c r="E445" t="s">
        <v>514</v>
      </c>
      <c r="F445" t="s">
        <v>154</v>
      </c>
      <c r="G445" t="s">
        <v>155</v>
      </c>
      <c r="H445" t="s">
        <v>68</v>
      </c>
      <c r="I445" t="s">
        <v>52</v>
      </c>
      <c r="J445">
        <v>1</v>
      </c>
      <c r="K445">
        <v>412.86</v>
      </c>
      <c r="L445">
        <v>212.96</v>
      </c>
      <c r="M445">
        <f>Table1[[#This Row],[Quantity Sold]]*Table1[[#This Row],[Unit Price]]</f>
        <v>412.86</v>
      </c>
      <c r="N445">
        <f>Table1[[#This Row],[Sales Amount]]-Table1[[#This Row],[Cost Amount]]</f>
        <v>199.9</v>
      </c>
      <c r="O445" t="str">
        <f>"Q"&amp;ROUNDUP(MONTH(Table1[[#This Row],[Order Date]])/3,0)</f>
        <v>Q1</v>
      </c>
      <c r="P445" t="str">
        <f>TEXT(Table1[[#This Row],[Order Date]],"MMM")</f>
        <v>Mar</v>
      </c>
      <c r="Q445">
        <f>MONTH(Table1[[#This Row],[Order Date]])</f>
        <v>3</v>
      </c>
    </row>
    <row r="446" spans="1:17" x14ac:dyDescent="0.25">
      <c r="A446" t="s">
        <v>868</v>
      </c>
      <c r="B446" s="2">
        <v>46267</v>
      </c>
      <c r="C446">
        <v>2026</v>
      </c>
      <c r="D446" t="s">
        <v>362</v>
      </c>
      <c r="E446" t="s">
        <v>237</v>
      </c>
      <c r="F446" t="s">
        <v>440</v>
      </c>
      <c r="G446" t="s">
        <v>441</v>
      </c>
      <c r="H446" t="s">
        <v>97</v>
      </c>
      <c r="I446" t="s">
        <v>23</v>
      </c>
      <c r="J446">
        <v>11</v>
      </c>
      <c r="K446">
        <v>35.880000000000003</v>
      </c>
      <c r="L446">
        <v>275.92</v>
      </c>
      <c r="M446">
        <f>Table1[[#This Row],[Quantity Sold]]*Table1[[#This Row],[Unit Price]]</f>
        <v>394.68</v>
      </c>
      <c r="N446">
        <f>Table1[[#This Row],[Sales Amount]]-Table1[[#This Row],[Cost Amount]]</f>
        <v>118.75999999999999</v>
      </c>
      <c r="O446" t="str">
        <f>"Q"&amp;ROUNDUP(MONTH(Table1[[#This Row],[Order Date]])/3,0)</f>
        <v>Q3</v>
      </c>
      <c r="P446" t="str">
        <f>TEXT(Table1[[#This Row],[Order Date]],"MMM")</f>
        <v>Sep</v>
      </c>
      <c r="Q446">
        <f>MONTH(Table1[[#This Row],[Order Date]])</f>
        <v>9</v>
      </c>
    </row>
    <row r="447" spans="1:17" x14ac:dyDescent="0.25">
      <c r="A447" t="s">
        <v>869</v>
      </c>
      <c r="B447" s="2">
        <v>46153</v>
      </c>
      <c r="C447">
        <v>2026</v>
      </c>
      <c r="D447" t="s">
        <v>152</v>
      </c>
      <c r="E447" t="s">
        <v>269</v>
      </c>
      <c r="F447" t="s">
        <v>101</v>
      </c>
      <c r="G447" t="s">
        <v>102</v>
      </c>
      <c r="H447" t="s">
        <v>22</v>
      </c>
      <c r="I447" t="s">
        <v>42</v>
      </c>
      <c r="J447">
        <v>2</v>
      </c>
      <c r="K447">
        <v>81.92</v>
      </c>
      <c r="L447">
        <v>97.14</v>
      </c>
      <c r="M447">
        <f>Table1[[#This Row],[Quantity Sold]]*Table1[[#This Row],[Unit Price]]</f>
        <v>163.84</v>
      </c>
      <c r="N447">
        <f>Table1[[#This Row],[Sales Amount]]-Table1[[#This Row],[Cost Amount]]</f>
        <v>66.7</v>
      </c>
      <c r="O447" t="str">
        <f>"Q"&amp;ROUNDUP(MONTH(Table1[[#This Row],[Order Date]])/3,0)</f>
        <v>Q2</v>
      </c>
      <c r="P447" t="str">
        <f>TEXT(Table1[[#This Row],[Order Date]],"MMM")</f>
        <v>May</v>
      </c>
      <c r="Q447">
        <f>MONTH(Table1[[#This Row],[Order Date]])</f>
        <v>5</v>
      </c>
    </row>
    <row r="448" spans="1:17" x14ac:dyDescent="0.25">
      <c r="A448" t="s">
        <v>870</v>
      </c>
      <c r="B448" s="2">
        <v>46193</v>
      </c>
      <c r="C448">
        <v>2026</v>
      </c>
      <c r="D448" t="s">
        <v>559</v>
      </c>
      <c r="E448" t="s">
        <v>153</v>
      </c>
      <c r="F448" t="s">
        <v>101</v>
      </c>
      <c r="G448" t="s">
        <v>102</v>
      </c>
      <c r="H448" t="s">
        <v>22</v>
      </c>
      <c r="I448" t="s">
        <v>23</v>
      </c>
      <c r="J448">
        <v>15</v>
      </c>
      <c r="K448">
        <v>62.8</v>
      </c>
      <c r="L448">
        <v>587.92999999999995</v>
      </c>
      <c r="M448">
        <f>Table1[[#This Row],[Quantity Sold]]*Table1[[#This Row],[Unit Price]]</f>
        <v>942</v>
      </c>
      <c r="N448">
        <f>Table1[[#This Row],[Sales Amount]]-Table1[[#This Row],[Cost Amount]]</f>
        <v>354.07000000000005</v>
      </c>
      <c r="O448" t="str">
        <f>"Q"&amp;ROUNDUP(MONTH(Table1[[#This Row],[Order Date]])/3,0)</f>
        <v>Q2</v>
      </c>
      <c r="P448" t="str">
        <f>TEXT(Table1[[#This Row],[Order Date]],"MMM")</f>
        <v>Jun</v>
      </c>
      <c r="Q448">
        <f>MONTH(Table1[[#This Row],[Order Date]])</f>
        <v>6</v>
      </c>
    </row>
    <row r="449" spans="1:17" x14ac:dyDescent="0.25">
      <c r="A449" t="s">
        <v>871</v>
      </c>
      <c r="B449" s="2">
        <v>46062</v>
      </c>
      <c r="C449">
        <v>2026</v>
      </c>
      <c r="D449" t="s">
        <v>299</v>
      </c>
      <c r="E449" t="s">
        <v>710</v>
      </c>
      <c r="F449" t="s">
        <v>440</v>
      </c>
      <c r="G449" t="s">
        <v>441</v>
      </c>
      <c r="H449" t="s">
        <v>97</v>
      </c>
      <c r="I449" t="s">
        <v>29</v>
      </c>
      <c r="J449">
        <v>3</v>
      </c>
      <c r="K449">
        <v>44.22</v>
      </c>
      <c r="L449">
        <v>96.68</v>
      </c>
      <c r="M449">
        <f>Table1[[#This Row],[Quantity Sold]]*Table1[[#This Row],[Unit Price]]</f>
        <v>132.66</v>
      </c>
      <c r="N449">
        <f>Table1[[#This Row],[Sales Amount]]-Table1[[#This Row],[Cost Amount]]</f>
        <v>35.97999999999999</v>
      </c>
      <c r="O449" t="str">
        <f>"Q"&amp;ROUNDUP(MONTH(Table1[[#This Row],[Order Date]])/3,0)</f>
        <v>Q1</v>
      </c>
      <c r="P449" t="str">
        <f>TEXT(Table1[[#This Row],[Order Date]],"MMM")</f>
        <v>Feb</v>
      </c>
      <c r="Q449">
        <f>MONTH(Table1[[#This Row],[Order Date]])</f>
        <v>2</v>
      </c>
    </row>
    <row r="450" spans="1:17" x14ac:dyDescent="0.25">
      <c r="A450" t="s">
        <v>872</v>
      </c>
      <c r="B450" s="2">
        <v>46171</v>
      </c>
      <c r="C450">
        <v>2026</v>
      </c>
      <c r="D450" t="s">
        <v>559</v>
      </c>
      <c r="E450" t="s">
        <v>620</v>
      </c>
      <c r="F450" t="s">
        <v>149</v>
      </c>
      <c r="G450" t="s">
        <v>150</v>
      </c>
      <c r="H450" t="s">
        <v>22</v>
      </c>
      <c r="I450" t="s">
        <v>23</v>
      </c>
      <c r="J450">
        <v>19</v>
      </c>
      <c r="K450">
        <v>304.41000000000003</v>
      </c>
      <c r="L450">
        <v>3243.05</v>
      </c>
      <c r="M450">
        <f>Table1[[#This Row],[Quantity Sold]]*Table1[[#This Row],[Unit Price]]</f>
        <v>5783.7900000000009</v>
      </c>
      <c r="N450">
        <f>Table1[[#This Row],[Sales Amount]]-Table1[[#This Row],[Cost Amount]]</f>
        <v>2540.7400000000007</v>
      </c>
      <c r="O450" t="str">
        <f>"Q"&amp;ROUNDUP(MONTH(Table1[[#This Row],[Order Date]])/3,0)</f>
        <v>Q2</v>
      </c>
      <c r="P450" t="str">
        <f>TEXT(Table1[[#This Row],[Order Date]],"MMM")</f>
        <v>May</v>
      </c>
      <c r="Q450">
        <f>MONTH(Table1[[#This Row],[Order Date]])</f>
        <v>5</v>
      </c>
    </row>
    <row r="451" spans="1:17" x14ac:dyDescent="0.25">
      <c r="A451" t="s">
        <v>873</v>
      </c>
      <c r="B451" s="2">
        <v>46171</v>
      </c>
      <c r="C451">
        <v>2026</v>
      </c>
      <c r="D451" t="s">
        <v>263</v>
      </c>
      <c r="E451" t="s">
        <v>419</v>
      </c>
      <c r="F451" t="s">
        <v>323</v>
      </c>
      <c r="G451" t="s">
        <v>324</v>
      </c>
      <c r="H451" t="s">
        <v>68</v>
      </c>
      <c r="I451" t="s">
        <v>42</v>
      </c>
      <c r="J451">
        <v>2</v>
      </c>
      <c r="K451">
        <v>421.01</v>
      </c>
      <c r="L451">
        <v>545.1</v>
      </c>
      <c r="M451">
        <f>Table1[[#This Row],[Quantity Sold]]*Table1[[#This Row],[Unit Price]]</f>
        <v>842.02</v>
      </c>
      <c r="N451">
        <f>Table1[[#This Row],[Sales Amount]]-Table1[[#This Row],[Cost Amount]]</f>
        <v>296.91999999999996</v>
      </c>
      <c r="O451" t="str">
        <f>"Q"&amp;ROUNDUP(MONTH(Table1[[#This Row],[Order Date]])/3,0)</f>
        <v>Q2</v>
      </c>
      <c r="P451" t="str">
        <f>TEXT(Table1[[#This Row],[Order Date]],"MMM")</f>
        <v>May</v>
      </c>
      <c r="Q451">
        <f>MONTH(Table1[[#This Row],[Order Date]])</f>
        <v>5</v>
      </c>
    </row>
    <row r="452" spans="1:17" x14ac:dyDescent="0.25">
      <c r="A452" t="s">
        <v>874</v>
      </c>
      <c r="B452" s="2">
        <v>46285</v>
      </c>
      <c r="C452">
        <v>2026</v>
      </c>
      <c r="D452" t="s">
        <v>681</v>
      </c>
      <c r="E452" t="s">
        <v>668</v>
      </c>
      <c r="F452" t="s">
        <v>399</v>
      </c>
      <c r="G452" t="s">
        <v>400</v>
      </c>
      <c r="H452" t="s">
        <v>22</v>
      </c>
      <c r="I452" t="s">
        <v>52</v>
      </c>
      <c r="J452">
        <v>3</v>
      </c>
      <c r="K452">
        <v>184.97</v>
      </c>
      <c r="L452">
        <v>444.06</v>
      </c>
      <c r="M452">
        <f>Table1[[#This Row],[Quantity Sold]]*Table1[[#This Row],[Unit Price]]</f>
        <v>554.91</v>
      </c>
      <c r="N452">
        <f>Table1[[#This Row],[Sales Amount]]-Table1[[#This Row],[Cost Amount]]</f>
        <v>110.84999999999997</v>
      </c>
      <c r="O452" t="str">
        <f>"Q"&amp;ROUNDUP(MONTH(Table1[[#This Row],[Order Date]])/3,0)</f>
        <v>Q3</v>
      </c>
      <c r="P452" t="str">
        <f>TEXT(Table1[[#This Row],[Order Date]],"MMM")</f>
        <v>Sep</v>
      </c>
      <c r="Q452">
        <f>MONTH(Table1[[#This Row],[Order Date]])</f>
        <v>9</v>
      </c>
    </row>
    <row r="453" spans="1:17" x14ac:dyDescent="0.25">
      <c r="A453" t="s">
        <v>875</v>
      </c>
      <c r="B453" s="2">
        <v>46342</v>
      </c>
      <c r="C453">
        <v>2026</v>
      </c>
      <c r="D453" t="s">
        <v>362</v>
      </c>
      <c r="E453" t="s">
        <v>500</v>
      </c>
      <c r="F453" t="s">
        <v>399</v>
      </c>
      <c r="G453" t="s">
        <v>400</v>
      </c>
      <c r="H453" t="s">
        <v>22</v>
      </c>
      <c r="I453" t="s">
        <v>29</v>
      </c>
      <c r="J453">
        <v>5</v>
      </c>
      <c r="K453">
        <v>376.81</v>
      </c>
      <c r="L453">
        <v>1289.8900000000001</v>
      </c>
      <c r="M453">
        <f>Table1[[#This Row],[Quantity Sold]]*Table1[[#This Row],[Unit Price]]</f>
        <v>1884.05</v>
      </c>
      <c r="N453">
        <f>Table1[[#This Row],[Sales Amount]]-Table1[[#This Row],[Cost Amount]]</f>
        <v>594.15999999999985</v>
      </c>
      <c r="O453" t="str">
        <f>"Q"&amp;ROUNDUP(MONTH(Table1[[#This Row],[Order Date]])/3,0)</f>
        <v>Q4</v>
      </c>
      <c r="P453" t="str">
        <f>TEXT(Table1[[#This Row],[Order Date]],"MMM")</f>
        <v>Nov</v>
      </c>
      <c r="Q453">
        <f>MONTH(Table1[[#This Row],[Order Date]])</f>
        <v>11</v>
      </c>
    </row>
    <row r="454" spans="1:17" x14ac:dyDescent="0.25">
      <c r="A454" t="s">
        <v>876</v>
      </c>
      <c r="B454" s="2">
        <v>46073</v>
      </c>
      <c r="C454">
        <v>2026</v>
      </c>
      <c r="D454" t="s">
        <v>417</v>
      </c>
      <c r="E454" t="s">
        <v>833</v>
      </c>
      <c r="F454" t="s">
        <v>241</v>
      </c>
      <c r="G454" t="s">
        <v>242</v>
      </c>
      <c r="H454" t="s">
        <v>35</v>
      </c>
      <c r="I454" t="s">
        <v>29</v>
      </c>
      <c r="J454">
        <v>4</v>
      </c>
      <c r="K454">
        <v>182.05</v>
      </c>
      <c r="L454">
        <v>481.49</v>
      </c>
      <c r="M454">
        <f>Table1[[#This Row],[Quantity Sold]]*Table1[[#This Row],[Unit Price]]</f>
        <v>728.2</v>
      </c>
      <c r="N454">
        <f>Table1[[#This Row],[Sales Amount]]-Table1[[#This Row],[Cost Amount]]</f>
        <v>246.71000000000004</v>
      </c>
      <c r="O454" t="str">
        <f>"Q"&amp;ROUNDUP(MONTH(Table1[[#This Row],[Order Date]])/3,0)</f>
        <v>Q1</v>
      </c>
      <c r="P454" t="str">
        <f>TEXT(Table1[[#This Row],[Order Date]],"MMM")</f>
        <v>Feb</v>
      </c>
      <c r="Q454">
        <f>MONTH(Table1[[#This Row],[Order Date]])</f>
        <v>2</v>
      </c>
    </row>
    <row r="455" spans="1:17" x14ac:dyDescent="0.25">
      <c r="A455" t="s">
        <v>877</v>
      </c>
      <c r="B455" s="2">
        <v>46050</v>
      </c>
      <c r="C455">
        <v>2026</v>
      </c>
      <c r="D455" t="s">
        <v>281</v>
      </c>
      <c r="E455" t="s">
        <v>521</v>
      </c>
      <c r="F455" t="s">
        <v>233</v>
      </c>
      <c r="G455" t="s">
        <v>234</v>
      </c>
      <c r="H455" t="s">
        <v>51</v>
      </c>
      <c r="I455" t="s">
        <v>52</v>
      </c>
      <c r="J455">
        <v>17</v>
      </c>
      <c r="K455">
        <v>424.2</v>
      </c>
      <c r="L455">
        <v>4515</v>
      </c>
      <c r="M455">
        <f>Table1[[#This Row],[Quantity Sold]]*Table1[[#This Row],[Unit Price]]</f>
        <v>7211.4</v>
      </c>
      <c r="N455">
        <f>Table1[[#This Row],[Sales Amount]]-Table1[[#This Row],[Cost Amount]]</f>
        <v>2696.3999999999996</v>
      </c>
      <c r="O455" t="str">
        <f>"Q"&amp;ROUNDUP(MONTH(Table1[[#This Row],[Order Date]])/3,0)</f>
        <v>Q1</v>
      </c>
      <c r="P455" t="str">
        <f>TEXT(Table1[[#This Row],[Order Date]],"MMM")</f>
        <v>Jan</v>
      </c>
      <c r="Q455">
        <f>MONTH(Table1[[#This Row],[Order Date]])</f>
        <v>1</v>
      </c>
    </row>
    <row r="456" spans="1:17" x14ac:dyDescent="0.25">
      <c r="A456" t="s">
        <v>878</v>
      </c>
      <c r="B456" s="2">
        <v>46110</v>
      </c>
      <c r="C456">
        <v>2026</v>
      </c>
      <c r="D456" t="s">
        <v>498</v>
      </c>
      <c r="E456" t="s">
        <v>496</v>
      </c>
      <c r="F456" t="s">
        <v>317</v>
      </c>
      <c r="G456" t="s">
        <v>318</v>
      </c>
      <c r="H456" t="s">
        <v>22</v>
      </c>
      <c r="I456" t="s">
        <v>29</v>
      </c>
      <c r="J456">
        <v>20</v>
      </c>
      <c r="K456">
        <v>261.88</v>
      </c>
      <c r="L456">
        <v>3292.08</v>
      </c>
      <c r="M456">
        <f>Table1[[#This Row],[Quantity Sold]]*Table1[[#This Row],[Unit Price]]</f>
        <v>5237.6000000000004</v>
      </c>
      <c r="N456">
        <f>Table1[[#This Row],[Sales Amount]]-Table1[[#This Row],[Cost Amount]]</f>
        <v>1945.5200000000004</v>
      </c>
      <c r="O456" t="str">
        <f>"Q"&amp;ROUNDUP(MONTH(Table1[[#This Row],[Order Date]])/3,0)</f>
        <v>Q1</v>
      </c>
      <c r="P456" t="str">
        <f>TEXT(Table1[[#This Row],[Order Date]],"MMM")</f>
        <v>Mar</v>
      </c>
      <c r="Q456">
        <f>MONTH(Table1[[#This Row],[Order Date]])</f>
        <v>3</v>
      </c>
    </row>
    <row r="457" spans="1:17" x14ac:dyDescent="0.25">
      <c r="A457" t="s">
        <v>879</v>
      </c>
      <c r="B457" s="2">
        <v>46318</v>
      </c>
      <c r="C457">
        <v>2026</v>
      </c>
      <c r="D457" t="s">
        <v>377</v>
      </c>
      <c r="E457" t="s">
        <v>557</v>
      </c>
      <c r="F457" t="s">
        <v>383</v>
      </c>
      <c r="G457" t="s">
        <v>384</v>
      </c>
      <c r="H457" t="s">
        <v>220</v>
      </c>
      <c r="I457" t="s">
        <v>42</v>
      </c>
      <c r="J457">
        <v>12</v>
      </c>
      <c r="K457">
        <v>269.75</v>
      </c>
      <c r="L457">
        <v>1852.24</v>
      </c>
      <c r="M457">
        <f>Table1[[#This Row],[Quantity Sold]]*Table1[[#This Row],[Unit Price]]</f>
        <v>3237</v>
      </c>
      <c r="N457">
        <f>Table1[[#This Row],[Sales Amount]]-Table1[[#This Row],[Cost Amount]]</f>
        <v>1384.76</v>
      </c>
      <c r="O457" t="str">
        <f>"Q"&amp;ROUNDUP(MONTH(Table1[[#This Row],[Order Date]])/3,0)</f>
        <v>Q4</v>
      </c>
      <c r="P457" t="str">
        <f>TEXT(Table1[[#This Row],[Order Date]],"MMM")</f>
        <v>Oct</v>
      </c>
      <c r="Q457">
        <f>MONTH(Table1[[#This Row],[Order Date]])</f>
        <v>10</v>
      </c>
    </row>
    <row r="458" spans="1:17" x14ac:dyDescent="0.25">
      <c r="A458" t="s">
        <v>880</v>
      </c>
      <c r="B458" s="2">
        <v>46027</v>
      </c>
      <c r="C458">
        <v>2026</v>
      </c>
      <c r="D458" t="s">
        <v>530</v>
      </c>
      <c r="E458" t="s">
        <v>338</v>
      </c>
      <c r="F458" t="s">
        <v>91</v>
      </c>
      <c r="G458" t="s">
        <v>92</v>
      </c>
      <c r="H458" t="s">
        <v>68</v>
      </c>
      <c r="I458" t="s">
        <v>29</v>
      </c>
      <c r="J458">
        <v>8</v>
      </c>
      <c r="K458">
        <v>419.86</v>
      </c>
      <c r="L458">
        <v>2222.79</v>
      </c>
      <c r="M458">
        <f>Table1[[#This Row],[Quantity Sold]]*Table1[[#This Row],[Unit Price]]</f>
        <v>3358.88</v>
      </c>
      <c r="N458">
        <f>Table1[[#This Row],[Sales Amount]]-Table1[[#This Row],[Cost Amount]]</f>
        <v>1136.0900000000001</v>
      </c>
      <c r="O458" t="str">
        <f>"Q"&amp;ROUNDUP(MONTH(Table1[[#This Row],[Order Date]])/3,0)</f>
        <v>Q1</v>
      </c>
      <c r="P458" t="str">
        <f>TEXT(Table1[[#This Row],[Order Date]],"MMM")</f>
        <v>Jan</v>
      </c>
      <c r="Q458">
        <f>MONTH(Table1[[#This Row],[Order Date]])</f>
        <v>1</v>
      </c>
    </row>
    <row r="459" spans="1:17" x14ac:dyDescent="0.25">
      <c r="A459" t="s">
        <v>881</v>
      </c>
      <c r="B459" s="2">
        <v>46370</v>
      </c>
      <c r="C459">
        <v>2026</v>
      </c>
      <c r="D459" t="s">
        <v>613</v>
      </c>
      <c r="E459" t="s">
        <v>402</v>
      </c>
      <c r="F459" t="s">
        <v>233</v>
      </c>
      <c r="G459" t="s">
        <v>234</v>
      </c>
      <c r="H459" t="s">
        <v>51</v>
      </c>
      <c r="I459" t="s">
        <v>52</v>
      </c>
      <c r="J459">
        <v>15</v>
      </c>
      <c r="K459">
        <v>323.7</v>
      </c>
      <c r="L459">
        <v>2883.48</v>
      </c>
      <c r="M459">
        <f>Table1[[#This Row],[Quantity Sold]]*Table1[[#This Row],[Unit Price]]</f>
        <v>4855.5</v>
      </c>
      <c r="N459">
        <f>Table1[[#This Row],[Sales Amount]]-Table1[[#This Row],[Cost Amount]]</f>
        <v>1972.02</v>
      </c>
      <c r="O459" t="str">
        <f>"Q"&amp;ROUNDUP(MONTH(Table1[[#This Row],[Order Date]])/3,0)</f>
        <v>Q4</v>
      </c>
      <c r="P459" t="str">
        <f>TEXT(Table1[[#This Row],[Order Date]],"MMM")</f>
        <v>Dec</v>
      </c>
      <c r="Q459">
        <f>MONTH(Table1[[#This Row],[Order Date]])</f>
        <v>12</v>
      </c>
    </row>
    <row r="460" spans="1:17" x14ac:dyDescent="0.25">
      <c r="A460" t="s">
        <v>882</v>
      </c>
      <c r="B460" s="2">
        <v>46306</v>
      </c>
      <c r="C460">
        <v>2026</v>
      </c>
      <c r="D460" t="s">
        <v>630</v>
      </c>
      <c r="E460" t="s">
        <v>883</v>
      </c>
      <c r="F460" t="s">
        <v>163</v>
      </c>
      <c r="G460" t="s">
        <v>164</v>
      </c>
      <c r="H460" t="s">
        <v>68</v>
      </c>
      <c r="I460" t="s">
        <v>42</v>
      </c>
      <c r="J460">
        <v>6</v>
      </c>
      <c r="K460">
        <v>196.21</v>
      </c>
      <c r="L460">
        <v>713.83</v>
      </c>
      <c r="M460">
        <f>Table1[[#This Row],[Quantity Sold]]*Table1[[#This Row],[Unit Price]]</f>
        <v>1177.26</v>
      </c>
      <c r="N460">
        <f>Table1[[#This Row],[Sales Amount]]-Table1[[#This Row],[Cost Amount]]</f>
        <v>463.42999999999995</v>
      </c>
      <c r="O460" t="str">
        <f>"Q"&amp;ROUNDUP(MONTH(Table1[[#This Row],[Order Date]])/3,0)</f>
        <v>Q4</v>
      </c>
      <c r="P460" t="str">
        <f>TEXT(Table1[[#This Row],[Order Date]],"MMM")</f>
        <v>Oct</v>
      </c>
      <c r="Q460">
        <f>MONTH(Table1[[#This Row],[Order Date]])</f>
        <v>10</v>
      </c>
    </row>
    <row r="461" spans="1:17" x14ac:dyDescent="0.25">
      <c r="A461" t="s">
        <v>884</v>
      </c>
      <c r="B461" s="2">
        <v>46257</v>
      </c>
      <c r="C461">
        <v>2026</v>
      </c>
      <c r="D461" t="s">
        <v>750</v>
      </c>
      <c r="E461" t="s">
        <v>700</v>
      </c>
      <c r="F461" t="s">
        <v>190</v>
      </c>
      <c r="G461" t="s">
        <v>191</v>
      </c>
      <c r="H461" t="s">
        <v>35</v>
      </c>
      <c r="I461" t="s">
        <v>42</v>
      </c>
      <c r="J461">
        <v>18</v>
      </c>
      <c r="K461">
        <v>179.1</v>
      </c>
      <c r="L461">
        <v>2122.4</v>
      </c>
      <c r="M461">
        <f>Table1[[#This Row],[Quantity Sold]]*Table1[[#This Row],[Unit Price]]</f>
        <v>3223.7999999999997</v>
      </c>
      <c r="N461">
        <f>Table1[[#This Row],[Sales Amount]]-Table1[[#This Row],[Cost Amount]]</f>
        <v>1101.3999999999996</v>
      </c>
      <c r="O461" t="str">
        <f>"Q"&amp;ROUNDUP(MONTH(Table1[[#This Row],[Order Date]])/3,0)</f>
        <v>Q3</v>
      </c>
      <c r="P461" t="str">
        <f>TEXT(Table1[[#This Row],[Order Date]],"MMM")</f>
        <v>Aug</v>
      </c>
      <c r="Q461">
        <f>MONTH(Table1[[#This Row],[Order Date]])</f>
        <v>8</v>
      </c>
    </row>
    <row r="462" spans="1:17" x14ac:dyDescent="0.25">
      <c r="A462" t="s">
        <v>885</v>
      </c>
      <c r="B462" s="2">
        <v>46142</v>
      </c>
      <c r="C462">
        <v>2026</v>
      </c>
      <c r="D462" t="s">
        <v>89</v>
      </c>
      <c r="E462" t="s">
        <v>886</v>
      </c>
      <c r="F462" t="s">
        <v>484</v>
      </c>
      <c r="G462" t="s">
        <v>485</v>
      </c>
      <c r="H462" t="s">
        <v>97</v>
      </c>
      <c r="I462" t="s">
        <v>29</v>
      </c>
      <c r="J462">
        <v>3</v>
      </c>
      <c r="K462">
        <v>311.81</v>
      </c>
      <c r="L462">
        <v>515.79</v>
      </c>
      <c r="M462">
        <f>Table1[[#This Row],[Quantity Sold]]*Table1[[#This Row],[Unit Price]]</f>
        <v>935.43000000000006</v>
      </c>
      <c r="N462">
        <f>Table1[[#This Row],[Sales Amount]]-Table1[[#This Row],[Cost Amount]]</f>
        <v>419.6400000000001</v>
      </c>
      <c r="O462" t="str">
        <f>"Q"&amp;ROUNDUP(MONTH(Table1[[#This Row],[Order Date]])/3,0)</f>
        <v>Q2</v>
      </c>
      <c r="P462" t="str">
        <f>TEXT(Table1[[#This Row],[Order Date]],"MMM")</f>
        <v>Apr</v>
      </c>
      <c r="Q462">
        <f>MONTH(Table1[[#This Row],[Order Date]])</f>
        <v>4</v>
      </c>
    </row>
    <row r="463" spans="1:17" x14ac:dyDescent="0.25">
      <c r="A463" t="s">
        <v>887</v>
      </c>
      <c r="B463" s="2">
        <v>46089</v>
      </c>
      <c r="C463">
        <v>2026</v>
      </c>
      <c r="D463" t="s">
        <v>227</v>
      </c>
      <c r="E463" t="s">
        <v>546</v>
      </c>
      <c r="F463" t="s">
        <v>27</v>
      </c>
      <c r="G463" t="s">
        <v>28</v>
      </c>
      <c r="H463" t="s">
        <v>22</v>
      </c>
      <c r="I463" t="s">
        <v>52</v>
      </c>
      <c r="J463">
        <v>3</v>
      </c>
      <c r="K463">
        <v>459.32</v>
      </c>
      <c r="L463">
        <v>931.25</v>
      </c>
      <c r="M463">
        <f>Table1[[#This Row],[Quantity Sold]]*Table1[[#This Row],[Unit Price]]</f>
        <v>1377.96</v>
      </c>
      <c r="N463">
        <f>Table1[[#This Row],[Sales Amount]]-Table1[[#This Row],[Cost Amount]]</f>
        <v>446.71000000000004</v>
      </c>
      <c r="O463" t="str">
        <f>"Q"&amp;ROUNDUP(MONTH(Table1[[#This Row],[Order Date]])/3,0)</f>
        <v>Q1</v>
      </c>
      <c r="P463" t="str">
        <f>TEXT(Table1[[#This Row],[Order Date]],"MMM")</f>
        <v>Mar</v>
      </c>
      <c r="Q463">
        <f>MONTH(Table1[[#This Row],[Order Date]])</f>
        <v>3</v>
      </c>
    </row>
    <row r="464" spans="1:17" x14ac:dyDescent="0.25">
      <c r="A464" t="s">
        <v>888</v>
      </c>
      <c r="B464" s="2">
        <v>46075</v>
      </c>
      <c r="C464">
        <v>2026</v>
      </c>
      <c r="D464" t="s">
        <v>86</v>
      </c>
      <c r="E464" t="s">
        <v>624</v>
      </c>
      <c r="F464" t="s">
        <v>383</v>
      </c>
      <c r="G464" t="s">
        <v>384</v>
      </c>
      <c r="H464" t="s">
        <v>220</v>
      </c>
      <c r="I464" t="s">
        <v>23</v>
      </c>
      <c r="J464">
        <v>14</v>
      </c>
      <c r="K464">
        <v>121.62</v>
      </c>
      <c r="L464">
        <v>1102.17</v>
      </c>
      <c r="M464">
        <f>Table1[[#This Row],[Quantity Sold]]*Table1[[#This Row],[Unit Price]]</f>
        <v>1702.68</v>
      </c>
      <c r="N464">
        <f>Table1[[#This Row],[Sales Amount]]-Table1[[#This Row],[Cost Amount]]</f>
        <v>600.51</v>
      </c>
      <c r="O464" t="str">
        <f>"Q"&amp;ROUNDUP(MONTH(Table1[[#This Row],[Order Date]])/3,0)</f>
        <v>Q1</v>
      </c>
      <c r="P464" t="str">
        <f>TEXT(Table1[[#This Row],[Order Date]],"MMM")</f>
        <v>Feb</v>
      </c>
      <c r="Q464">
        <f>MONTH(Table1[[#This Row],[Order Date]])</f>
        <v>2</v>
      </c>
    </row>
    <row r="465" spans="1:17" x14ac:dyDescent="0.25">
      <c r="A465" t="s">
        <v>889</v>
      </c>
      <c r="B465" s="2">
        <v>46170</v>
      </c>
      <c r="C465">
        <v>2026</v>
      </c>
      <c r="D465" t="s">
        <v>398</v>
      </c>
      <c r="E465" t="s">
        <v>690</v>
      </c>
      <c r="F465" t="s">
        <v>149</v>
      </c>
      <c r="G465" t="s">
        <v>150</v>
      </c>
      <c r="H465" t="s">
        <v>22</v>
      </c>
      <c r="I465" t="s">
        <v>52</v>
      </c>
      <c r="J465">
        <v>13</v>
      </c>
      <c r="K465">
        <v>397.78</v>
      </c>
      <c r="L465">
        <v>3531.68</v>
      </c>
      <c r="M465">
        <f>Table1[[#This Row],[Quantity Sold]]*Table1[[#This Row],[Unit Price]]</f>
        <v>5171.1399999999994</v>
      </c>
      <c r="N465">
        <f>Table1[[#This Row],[Sales Amount]]-Table1[[#This Row],[Cost Amount]]</f>
        <v>1639.4599999999996</v>
      </c>
      <c r="O465" t="str">
        <f>"Q"&amp;ROUNDUP(MONTH(Table1[[#This Row],[Order Date]])/3,0)</f>
        <v>Q2</v>
      </c>
      <c r="P465" t="str">
        <f>TEXT(Table1[[#This Row],[Order Date]],"MMM")</f>
        <v>May</v>
      </c>
      <c r="Q465">
        <f>MONTH(Table1[[#This Row],[Order Date]])</f>
        <v>5</v>
      </c>
    </row>
    <row r="466" spans="1:17" x14ac:dyDescent="0.25">
      <c r="A466" t="s">
        <v>890</v>
      </c>
      <c r="B466" s="2">
        <v>46267</v>
      </c>
      <c r="C466">
        <v>2026</v>
      </c>
      <c r="D466" t="s">
        <v>417</v>
      </c>
      <c r="E466" t="s">
        <v>665</v>
      </c>
      <c r="F466" t="s">
        <v>177</v>
      </c>
      <c r="G466" t="s">
        <v>178</v>
      </c>
      <c r="H466" t="s">
        <v>41</v>
      </c>
      <c r="I466" t="s">
        <v>52</v>
      </c>
      <c r="J466">
        <v>17</v>
      </c>
      <c r="K466">
        <v>426.36</v>
      </c>
      <c r="L466">
        <v>4312.93</v>
      </c>
      <c r="M466">
        <f>Table1[[#This Row],[Quantity Sold]]*Table1[[#This Row],[Unit Price]]</f>
        <v>7248.12</v>
      </c>
      <c r="N466">
        <f>Table1[[#This Row],[Sales Amount]]-Table1[[#This Row],[Cost Amount]]</f>
        <v>2935.1899999999996</v>
      </c>
      <c r="O466" t="str">
        <f>"Q"&amp;ROUNDUP(MONTH(Table1[[#This Row],[Order Date]])/3,0)</f>
        <v>Q3</v>
      </c>
      <c r="P466" t="str">
        <f>TEXT(Table1[[#This Row],[Order Date]],"MMM")</f>
        <v>Sep</v>
      </c>
      <c r="Q466">
        <f>MONTH(Table1[[#This Row],[Order Date]])</f>
        <v>9</v>
      </c>
    </row>
    <row r="467" spans="1:17" x14ac:dyDescent="0.25">
      <c r="A467" t="s">
        <v>891</v>
      </c>
      <c r="B467" s="2">
        <v>46250</v>
      </c>
      <c r="C467">
        <v>2026</v>
      </c>
      <c r="D467" t="s">
        <v>415</v>
      </c>
      <c r="E467" t="s">
        <v>437</v>
      </c>
      <c r="F467" t="s">
        <v>83</v>
      </c>
      <c r="G467" t="s">
        <v>84</v>
      </c>
      <c r="H467" t="s">
        <v>35</v>
      </c>
      <c r="I467" t="s">
        <v>52</v>
      </c>
      <c r="J467">
        <v>15</v>
      </c>
      <c r="K467">
        <v>181.75</v>
      </c>
      <c r="L467">
        <v>1555.33</v>
      </c>
      <c r="M467">
        <f>Table1[[#This Row],[Quantity Sold]]*Table1[[#This Row],[Unit Price]]</f>
        <v>2726.25</v>
      </c>
      <c r="N467">
        <f>Table1[[#This Row],[Sales Amount]]-Table1[[#This Row],[Cost Amount]]</f>
        <v>1170.92</v>
      </c>
      <c r="O467" t="str">
        <f>"Q"&amp;ROUNDUP(MONTH(Table1[[#This Row],[Order Date]])/3,0)</f>
        <v>Q3</v>
      </c>
      <c r="P467" t="str">
        <f>TEXT(Table1[[#This Row],[Order Date]],"MMM")</f>
        <v>Aug</v>
      </c>
      <c r="Q467">
        <f>MONTH(Table1[[#This Row],[Order Date]])</f>
        <v>8</v>
      </c>
    </row>
    <row r="468" spans="1:17" x14ac:dyDescent="0.25">
      <c r="A468" t="s">
        <v>892</v>
      </c>
      <c r="B468" s="2">
        <v>46296</v>
      </c>
      <c r="C468">
        <v>2026</v>
      </c>
      <c r="D468" t="s">
        <v>470</v>
      </c>
      <c r="E468" t="s">
        <v>893</v>
      </c>
      <c r="F468" t="s">
        <v>123</v>
      </c>
      <c r="G468" t="s">
        <v>124</v>
      </c>
      <c r="H468" t="s">
        <v>41</v>
      </c>
      <c r="I468" t="s">
        <v>52</v>
      </c>
      <c r="J468">
        <v>9</v>
      </c>
      <c r="K468">
        <v>426.54</v>
      </c>
      <c r="L468">
        <v>2239.88</v>
      </c>
      <c r="M468">
        <f>Table1[[#This Row],[Quantity Sold]]*Table1[[#This Row],[Unit Price]]</f>
        <v>3838.86</v>
      </c>
      <c r="N468">
        <f>Table1[[#This Row],[Sales Amount]]-Table1[[#This Row],[Cost Amount]]</f>
        <v>1598.98</v>
      </c>
      <c r="O468" t="str">
        <f>"Q"&amp;ROUNDUP(MONTH(Table1[[#This Row],[Order Date]])/3,0)</f>
        <v>Q4</v>
      </c>
      <c r="P468" t="str">
        <f>TEXT(Table1[[#This Row],[Order Date]],"MMM")</f>
        <v>Oct</v>
      </c>
      <c r="Q468">
        <f>MONTH(Table1[[#This Row],[Order Date]])</f>
        <v>10</v>
      </c>
    </row>
    <row r="469" spans="1:17" x14ac:dyDescent="0.25">
      <c r="A469" t="s">
        <v>894</v>
      </c>
      <c r="B469" s="2">
        <v>46369</v>
      </c>
      <c r="C469">
        <v>2026</v>
      </c>
      <c r="D469" t="s">
        <v>750</v>
      </c>
      <c r="E469" t="s">
        <v>207</v>
      </c>
      <c r="F469" t="s">
        <v>101</v>
      </c>
      <c r="G469" t="s">
        <v>102</v>
      </c>
      <c r="H469" t="s">
        <v>22</v>
      </c>
      <c r="I469" t="s">
        <v>42</v>
      </c>
      <c r="J469">
        <v>1</v>
      </c>
      <c r="K469">
        <v>261.58999999999997</v>
      </c>
      <c r="L469">
        <v>163.04</v>
      </c>
      <c r="M469">
        <f>Table1[[#This Row],[Quantity Sold]]*Table1[[#This Row],[Unit Price]]</f>
        <v>261.58999999999997</v>
      </c>
      <c r="N469">
        <f>Table1[[#This Row],[Sales Amount]]-Table1[[#This Row],[Cost Amount]]</f>
        <v>98.549999999999983</v>
      </c>
      <c r="O469" t="str">
        <f>"Q"&amp;ROUNDUP(MONTH(Table1[[#This Row],[Order Date]])/3,0)</f>
        <v>Q4</v>
      </c>
      <c r="P469" t="str">
        <f>TEXT(Table1[[#This Row],[Order Date]],"MMM")</f>
        <v>Dec</v>
      </c>
      <c r="Q469">
        <f>MONTH(Table1[[#This Row],[Order Date]])</f>
        <v>12</v>
      </c>
    </row>
    <row r="470" spans="1:17" x14ac:dyDescent="0.25">
      <c r="A470" t="s">
        <v>895</v>
      </c>
      <c r="B470" s="2">
        <v>46123</v>
      </c>
      <c r="C470">
        <v>2026</v>
      </c>
      <c r="D470" t="s">
        <v>681</v>
      </c>
      <c r="E470" t="s">
        <v>896</v>
      </c>
      <c r="F470" t="s">
        <v>123</v>
      </c>
      <c r="G470" t="s">
        <v>124</v>
      </c>
      <c r="H470" t="s">
        <v>41</v>
      </c>
      <c r="I470" t="s">
        <v>52</v>
      </c>
      <c r="J470">
        <v>6</v>
      </c>
      <c r="K470">
        <v>207.84</v>
      </c>
      <c r="L470">
        <v>677.26</v>
      </c>
      <c r="M470">
        <f>Table1[[#This Row],[Quantity Sold]]*Table1[[#This Row],[Unit Price]]</f>
        <v>1247.04</v>
      </c>
      <c r="N470">
        <f>Table1[[#This Row],[Sales Amount]]-Table1[[#This Row],[Cost Amount]]</f>
        <v>569.78</v>
      </c>
      <c r="O470" t="str">
        <f>"Q"&amp;ROUNDUP(MONTH(Table1[[#This Row],[Order Date]])/3,0)</f>
        <v>Q2</v>
      </c>
      <c r="P470" t="str">
        <f>TEXT(Table1[[#This Row],[Order Date]],"MMM")</f>
        <v>Apr</v>
      </c>
      <c r="Q470">
        <f>MONTH(Table1[[#This Row],[Order Date]])</f>
        <v>4</v>
      </c>
    </row>
    <row r="471" spans="1:17" x14ac:dyDescent="0.25">
      <c r="A471" t="s">
        <v>897</v>
      </c>
      <c r="B471" s="2">
        <v>46157</v>
      </c>
      <c r="C471">
        <v>2026</v>
      </c>
      <c r="D471" t="s">
        <v>379</v>
      </c>
      <c r="E471" t="s">
        <v>560</v>
      </c>
      <c r="F471" t="s">
        <v>134</v>
      </c>
      <c r="G471" t="s">
        <v>135</v>
      </c>
      <c r="H471" t="s">
        <v>22</v>
      </c>
      <c r="I471" t="s">
        <v>42</v>
      </c>
      <c r="J471">
        <v>12</v>
      </c>
      <c r="K471">
        <v>413.57</v>
      </c>
      <c r="L471">
        <v>3054.8</v>
      </c>
      <c r="M471">
        <f>Table1[[#This Row],[Quantity Sold]]*Table1[[#This Row],[Unit Price]]</f>
        <v>4962.84</v>
      </c>
      <c r="N471">
        <f>Table1[[#This Row],[Sales Amount]]-Table1[[#This Row],[Cost Amount]]</f>
        <v>1908.04</v>
      </c>
      <c r="O471" t="str">
        <f>"Q"&amp;ROUNDUP(MONTH(Table1[[#This Row],[Order Date]])/3,0)</f>
        <v>Q2</v>
      </c>
      <c r="P471" t="str">
        <f>TEXT(Table1[[#This Row],[Order Date]],"MMM")</f>
        <v>May</v>
      </c>
      <c r="Q471">
        <f>MONTH(Table1[[#This Row],[Order Date]])</f>
        <v>5</v>
      </c>
    </row>
    <row r="472" spans="1:17" x14ac:dyDescent="0.25">
      <c r="A472" t="s">
        <v>898</v>
      </c>
      <c r="B472" s="2">
        <v>46310</v>
      </c>
      <c r="C472">
        <v>2026</v>
      </c>
      <c r="D472" t="s">
        <v>459</v>
      </c>
      <c r="E472" t="s">
        <v>168</v>
      </c>
      <c r="F472" t="s">
        <v>233</v>
      </c>
      <c r="G472" t="s">
        <v>234</v>
      </c>
      <c r="H472" t="s">
        <v>51</v>
      </c>
      <c r="I472" t="s">
        <v>52</v>
      </c>
      <c r="J472">
        <v>17</v>
      </c>
      <c r="K472">
        <v>20.350000000000001</v>
      </c>
      <c r="L472">
        <v>247.25</v>
      </c>
      <c r="M472">
        <f>Table1[[#This Row],[Quantity Sold]]*Table1[[#This Row],[Unit Price]]</f>
        <v>345.95000000000005</v>
      </c>
      <c r="N472">
        <f>Table1[[#This Row],[Sales Amount]]-Table1[[#This Row],[Cost Amount]]</f>
        <v>98.700000000000045</v>
      </c>
      <c r="O472" t="str">
        <f>"Q"&amp;ROUNDUP(MONTH(Table1[[#This Row],[Order Date]])/3,0)</f>
        <v>Q4</v>
      </c>
      <c r="P472" t="str">
        <f>TEXT(Table1[[#This Row],[Order Date]],"MMM")</f>
        <v>Oct</v>
      </c>
      <c r="Q472">
        <f>MONTH(Table1[[#This Row],[Order Date]])</f>
        <v>10</v>
      </c>
    </row>
    <row r="473" spans="1:17" x14ac:dyDescent="0.25">
      <c r="A473" t="s">
        <v>899</v>
      </c>
      <c r="B473" s="2">
        <v>46025</v>
      </c>
      <c r="C473">
        <v>2026</v>
      </c>
      <c r="D473" t="s">
        <v>209</v>
      </c>
      <c r="E473" t="s">
        <v>652</v>
      </c>
      <c r="F473" t="s">
        <v>195</v>
      </c>
      <c r="G473" t="s">
        <v>196</v>
      </c>
      <c r="H473" t="s">
        <v>35</v>
      </c>
      <c r="I473" t="s">
        <v>23</v>
      </c>
      <c r="J473">
        <v>17</v>
      </c>
      <c r="K473">
        <v>344.9</v>
      </c>
      <c r="L473">
        <v>3533.35</v>
      </c>
      <c r="M473">
        <f>Table1[[#This Row],[Quantity Sold]]*Table1[[#This Row],[Unit Price]]</f>
        <v>5863.2999999999993</v>
      </c>
      <c r="N473">
        <f>Table1[[#This Row],[Sales Amount]]-Table1[[#This Row],[Cost Amount]]</f>
        <v>2329.9499999999994</v>
      </c>
      <c r="O473" t="str">
        <f>"Q"&amp;ROUNDUP(MONTH(Table1[[#This Row],[Order Date]])/3,0)</f>
        <v>Q1</v>
      </c>
      <c r="P473" t="str">
        <f>TEXT(Table1[[#This Row],[Order Date]],"MMM")</f>
        <v>Jan</v>
      </c>
      <c r="Q473">
        <f>MONTH(Table1[[#This Row],[Order Date]])</f>
        <v>1</v>
      </c>
    </row>
    <row r="474" spans="1:17" x14ac:dyDescent="0.25">
      <c r="A474" t="s">
        <v>900</v>
      </c>
      <c r="B474" s="2">
        <v>46224</v>
      </c>
      <c r="C474">
        <v>2026</v>
      </c>
      <c r="D474" t="s">
        <v>44</v>
      </c>
      <c r="E474" t="s">
        <v>338</v>
      </c>
      <c r="F474" t="s">
        <v>123</v>
      </c>
      <c r="G474" t="s">
        <v>124</v>
      </c>
      <c r="H474" t="s">
        <v>41</v>
      </c>
      <c r="I474" t="s">
        <v>29</v>
      </c>
      <c r="J474">
        <v>3</v>
      </c>
      <c r="K474">
        <v>45.67</v>
      </c>
      <c r="L474">
        <v>93.69</v>
      </c>
      <c r="M474">
        <f>Table1[[#This Row],[Quantity Sold]]*Table1[[#This Row],[Unit Price]]</f>
        <v>137.01</v>
      </c>
      <c r="N474">
        <f>Table1[[#This Row],[Sales Amount]]-Table1[[#This Row],[Cost Amount]]</f>
        <v>43.319999999999993</v>
      </c>
      <c r="O474" t="str">
        <f>"Q"&amp;ROUNDUP(MONTH(Table1[[#This Row],[Order Date]])/3,0)</f>
        <v>Q3</v>
      </c>
      <c r="P474" t="str">
        <f>TEXT(Table1[[#This Row],[Order Date]],"MMM")</f>
        <v>Jul</v>
      </c>
      <c r="Q474">
        <f>MONTH(Table1[[#This Row],[Order Date]])</f>
        <v>7</v>
      </c>
    </row>
    <row r="475" spans="1:17" x14ac:dyDescent="0.25">
      <c r="A475" t="s">
        <v>901</v>
      </c>
      <c r="B475" s="2">
        <v>46341</v>
      </c>
      <c r="C475">
        <v>2026</v>
      </c>
      <c r="D475" t="s">
        <v>142</v>
      </c>
      <c r="E475" t="s">
        <v>143</v>
      </c>
      <c r="F475" t="s">
        <v>149</v>
      </c>
      <c r="G475" t="s">
        <v>150</v>
      </c>
      <c r="H475" t="s">
        <v>22</v>
      </c>
      <c r="I475" t="s">
        <v>52</v>
      </c>
      <c r="J475">
        <v>3</v>
      </c>
      <c r="K475">
        <v>257.87</v>
      </c>
      <c r="L475">
        <v>473.79</v>
      </c>
      <c r="M475">
        <f>Table1[[#This Row],[Quantity Sold]]*Table1[[#This Row],[Unit Price]]</f>
        <v>773.61</v>
      </c>
      <c r="N475">
        <f>Table1[[#This Row],[Sales Amount]]-Table1[[#This Row],[Cost Amount]]</f>
        <v>299.82</v>
      </c>
      <c r="O475" t="str">
        <f>"Q"&amp;ROUNDUP(MONTH(Table1[[#This Row],[Order Date]])/3,0)</f>
        <v>Q4</v>
      </c>
      <c r="P475" t="str">
        <f>TEXT(Table1[[#This Row],[Order Date]],"MMM")</f>
        <v>Nov</v>
      </c>
      <c r="Q475">
        <f>MONTH(Table1[[#This Row],[Order Date]])</f>
        <v>11</v>
      </c>
    </row>
    <row r="476" spans="1:17" x14ac:dyDescent="0.25">
      <c r="A476" t="s">
        <v>902</v>
      </c>
      <c r="B476" s="2">
        <v>46240</v>
      </c>
      <c r="C476">
        <v>2026</v>
      </c>
      <c r="D476" t="s">
        <v>257</v>
      </c>
      <c r="E476" t="s">
        <v>903</v>
      </c>
      <c r="F476" t="s">
        <v>218</v>
      </c>
      <c r="G476" t="s">
        <v>219</v>
      </c>
      <c r="H476" t="s">
        <v>220</v>
      </c>
      <c r="I476" t="s">
        <v>29</v>
      </c>
      <c r="J476">
        <v>11</v>
      </c>
      <c r="K476">
        <v>35.28</v>
      </c>
      <c r="L476">
        <v>215.32</v>
      </c>
      <c r="M476">
        <f>Table1[[#This Row],[Quantity Sold]]*Table1[[#This Row],[Unit Price]]</f>
        <v>388.08000000000004</v>
      </c>
      <c r="N476">
        <f>Table1[[#This Row],[Sales Amount]]-Table1[[#This Row],[Cost Amount]]</f>
        <v>172.76000000000005</v>
      </c>
      <c r="O476" t="str">
        <f>"Q"&amp;ROUNDUP(MONTH(Table1[[#This Row],[Order Date]])/3,0)</f>
        <v>Q3</v>
      </c>
      <c r="P476" t="str">
        <f>TEXT(Table1[[#This Row],[Order Date]],"MMM")</f>
        <v>Aug</v>
      </c>
      <c r="Q476">
        <f>MONTH(Table1[[#This Row],[Order Date]])</f>
        <v>8</v>
      </c>
    </row>
    <row r="477" spans="1:17" x14ac:dyDescent="0.25">
      <c r="A477" t="s">
        <v>904</v>
      </c>
      <c r="B477" s="2">
        <v>46336</v>
      </c>
      <c r="C477">
        <v>2026</v>
      </c>
      <c r="D477" t="s">
        <v>398</v>
      </c>
      <c r="E477" t="s">
        <v>671</v>
      </c>
      <c r="F477" t="s">
        <v>27</v>
      </c>
      <c r="G477" t="s">
        <v>28</v>
      </c>
      <c r="H477" t="s">
        <v>22</v>
      </c>
      <c r="I477" t="s">
        <v>42</v>
      </c>
      <c r="J477">
        <v>16</v>
      </c>
      <c r="K477">
        <v>366.1</v>
      </c>
      <c r="L477">
        <v>3576.89</v>
      </c>
      <c r="M477">
        <f>Table1[[#This Row],[Quantity Sold]]*Table1[[#This Row],[Unit Price]]</f>
        <v>5857.6</v>
      </c>
      <c r="N477">
        <f>Table1[[#This Row],[Sales Amount]]-Table1[[#This Row],[Cost Amount]]</f>
        <v>2280.7100000000005</v>
      </c>
      <c r="O477" t="str">
        <f>"Q"&amp;ROUNDUP(MONTH(Table1[[#This Row],[Order Date]])/3,0)</f>
        <v>Q4</v>
      </c>
      <c r="P477" t="str">
        <f>TEXT(Table1[[#This Row],[Order Date]],"MMM")</f>
        <v>Nov</v>
      </c>
      <c r="Q477">
        <f>MONTH(Table1[[#This Row],[Order Date]])</f>
        <v>11</v>
      </c>
    </row>
    <row r="478" spans="1:17" x14ac:dyDescent="0.25">
      <c r="A478" t="s">
        <v>905</v>
      </c>
      <c r="B478" s="2">
        <v>46229</v>
      </c>
      <c r="C478">
        <v>2026</v>
      </c>
      <c r="D478" t="s">
        <v>222</v>
      </c>
      <c r="E478" t="s">
        <v>618</v>
      </c>
      <c r="F478" t="s">
        <v>440</v>
      </c>
      <c r="G478" t="s">
        <v>441</v>
      </c>
      <c r="H478" t="s">
        <v>97</v>
      </c>
      <c r="I478" t="s">
        <v>52</v>
      </c>
      <c r="J478">
        <v>2</v>
      </c>
      <c r="K478">
        <v>140.81</v>
      </c>
      <c r="L478">
        <v>237.34</v>
      </c>
      <c r="M478">
        <f>Table1[[#This Row],[Quantity Sold]]*Table1[[#This Row],[Unit Price]]</f>
        <v>281.62</v>
      </c>
      <c r="N478">
        <f>Table1[[#This Row],[Sales Amount]]-Table1[[#This Row],[Cost Amount]]</f>
        <v>44.28</v>
      </c>
      <c r="O478" t="str">
        <f>"Q"&amp;ROUNDUP(MONTH(Table1[[#This Row],[Order Date]])/3,0)</f>
        <v>Q3</v>
      </c>
      <c r="P478" t="str">
        <f>TEXT(Table1[[#This Row],[Order Date]],"MMM")</f>
        <v>Jul</v>
      </c>
      <c r="Q478">
        <f>MONTH(Table1[[#This Row],[Order Date]])</f>
        <v>7</v>
      </c>
    </row>
    <row r="479" spans="1:17" x14ac:dyDescent="0.25">
      <c r="A479" t="s">
        <v>906</v>
      </c>
      <c r="B479" s="2">
        <v>46233</v>
      </c>
      <c r="C479">
        <v>2026</v>
      </c>
      <c r="D479" t="s">
        <v>200</v>
      </c>
      <c r="E479" t="s">
        <v>563</v>
      </c>
      <c r="F479" t="s">
        <v>399</v>
      </c>
      <c r="G479" t="s">
        <v>400</v>
      </c>
      <c r="H479" t="s">
        <v>22</v>
      </c>
      <c r="I479" t="s">
        <v>42</v>
      </c>
      <c r="J479">
        <v>7</v>
      </c>
      <c r="K479">
        <v>334.45</v>
      </c>
      <c r="L479">
        <v>1939.83</v>
      </c>
      <c r="M479">
        <f>Table1[[#This Row],[Quantity Sold]]*Table1[[#This Row],[Unit Price]]</f>
        <v>2341.15</v>
      </c>
      <c r="N479">
        <f>Table1[[#This Row],[Sales Amount]]-Table1[[#This Row],[Cost Amount]]</f>
        <v>401.32000000000016</v>
      </c>
      <c r="O479" t="str">
        <f>"Q"&amp;ROUNDUP(MONTH(Table1[[#This Row],[Order Date]])/3,0)</f>
        <v>Q3</v>
      </c>
      <c r="P479" t="str">
        <f>TEXT(Table1[[#This Row],[Order Date]],"MMM")</f>
        <v>Jul</v>
      </c>
      <c r="Q479">
        <f>MONTH(Table1[[#This Row],[Order Date]])</f>
        <v>7</v>
      </c>
    </row>
    <row r="480" spans="1:17" x14ac:dyDescent="0.25">
      <c r="A480" t="s">
        <v>907</v>
      </c>
      <c r="B480" s="2">
        <v>46381</v>
      </c>
      <c r="C480">
        <v>2026</v>
      </c>
      <c r="D480" t="s">
        <v>75</v>
      </c>
      <c r="E480" t="s">
        <v>557</v>
      </c>
      <c r="F480" t="s">
        <v>159</v>
      </c>
      <c r="G480" t="s">
        <v>160</v>
      </c>
      <c r="H480" t="s">
        <v>51</v>
      </c>
      <c r="I480" t="s">
        <v>29</v>
      </c>
      <c r="J480">
        <v>5</v>
      </c>
      <c r="K480">
        <v>224.07</v>
      </c>
      <c r="L480">
        <v>621.99</v>
      </c>
      <c r="M480">
        <f>Table1[[#This Row],[Quantity Sold]]*Table1[[#This Row],[Unit Price]]</f>
        <v>1120.3499999999999</v>
      </c>
      <c r="N480">
        <f>Table1[[#This Row],[Sales Amount]]-Table1[[#This Row],[Cost Amount]]</f>
        <v>498.3599999999999</v>
      </c>
      <c r="O480" t="str">
        <f>"Q"&amp;ROUNDUP(MONTH(Table1[[#This Row],[Order Date]])/3,0)</f>
        <v>Q4</v>
      </c>
      <c r="P480" t="str">
        <f>TEXT(Table1[[#This Row],[Order Date]],"MMM")</f>
        <v>Dec</v>
      </c>
      <c r="Q480">
        <f>MONTH(Table1[[#This Row],[Order Date]])</f>
        <v>12</v>
      </c>
    </row>
    <row r="481" spans="1:17" x14ac:dyDescent="0.25">
      <c r="A481" t="s">
        <v>908</v>
      </c>
      <c r="B481" s="2">
        <v>46281</v>
      </c>
      <c r="C481">
        <v>2026</v>
      </c>
      <c r="D481" t="s">
        <v>909</v>
      </c>
      <c r="E481" t="s">
        <v>128</v>
      </c>
      <c r="F481" t="s">
        <v>241</v>
      </c>
      <c r="G481" t="s">
        <v>242</v>
      </c>
      <c r="H481" t="s">
        <v>35</v>
      </c>
      <c r="I481" t="s">
        <v>23</v>
      </c>
      <c r="J481">
        <v>3</v>
      </c>
      <c r="K481">
        <v>237.43</v>
      </c>
      <c r="L481">
        <v>490.56</v>
      </c>
      <c r="M481">
        <f>Table1[[#This Row],[Quantity Sold]]*Table1[[#This Row],[Unit Price]]</f>
        <v>712.29</v>
      </c>
      <c r="N481">
        <f>Table1[[#This Row],[Sales Amount]]-Table1[[#This Row],[Cost Amount]]</f>
        <v>221.72999999999996</v>
      </c>
      <c r="O481" t="str">
        <f>"Q"&amp;ROUNDUP(MONTH(Table1[[#This Row],[Order Date]])/3,0)</f>
        <v>Q3</v>
      </c>
      <c r="P481" t="str">
        <f>TEXT(Table1[[#This Row],[Order Date]],"MMM")</f>
        <v>Sep</v>
      </c>
      <c r="Q481">
        <f>MONTH(Table1[[#This Row],[Order Date]])</f>
        <v>9</v>
      </c>
    </row>
    <row r="482" spans="1:17" x14ac:dyDescent="0.25">
      <c r="A482" t="s">
        <v>910</v>
      </c>
      <c r="B482" s="2">
        <v>46352</v>
      </c>
      <c r="C482">
        <v>2026</v>
      </c>
      <c r="D482" t="s">
        <v>909</v>
      </c>
      <c r="E482" t="s">
        <v>687</v>
      </c>
      <c r="F482" t="s">
        <v>177</v>
      </c>
      <c r="G482" t="s">
        <v>178</v>
      </c>
      <c r="H482" t="s">
        <v>41</v>
      </c>
      <c r="I482" t="s">
        <v>52</v>
      </c>
      <c r="J482">
        <v>14</v>
      </c>
      <c r="K482">
        <v>388.92</v>
      </c>
      <c r="L482">
        <v>3238.34</v>
      </c>
      <c r="M482">
        <f>Table1[[#This Row],[Quantity Sold]]*Table1[[#This Row],[Unit Price]]</f>
        <v>5444.88</v>
      </c>
      <c r="N482">
        <f>Table1[[#This Row],[Sales Amount]]-Table1[[#This Row],[Cost Amount]]</f>
        <v>2206.54</v>
      </c>
      <c r="O482" t="str">
        <f>"Q"&amp;ROUNDUP(MONTH(Table1[[#This Row],[Order Date]])/3,0)</f>
        <v>Q4</v>
      </c>
      <c r="P482" t="str">
        <f>TEXT(Table1[[#This Row],[Order Date]],"MMM")</f>
        <v>Nov</v>
      </c>
      <c r="Q482">
        <f>MONTH(Table1[[#This Row],[Order Date]])</f>
        <v>11</v>
      </c>
    </row>
    <row r="483" spans="1:17" x14ac:dyDescent="0.25">
      <c r="A483" t="s">
        <v>911</v>
      </c>
      <c r="B483" s="2">
        <v>46259</v>
      </c>
      <c r="C483">
        <v>2026</v>
      </c>
      <c r="D483" t="s">
        <v>291</v>
      </c>
      <c r="E483" t="s">
        <v>615</v>
      </c>
      <c r="F483" t="s">
        <v>61</v>
      </c>
      <c r="G483" t="s">
        <v>62</v>
      </c>
      <c r="H483" t="s">
        <v>22</v>
      </c>
      <c r="I483" t="s">
        <v>42</v>
      </c>
      <c r="J483">
        <v>6</v>
      </c>
      <c r="K483">
        <v>171.38</v>
      </c>
      <c r="L483">
        <v>639.76</v>
      </c>
      <c r="M483">
        <f>Table1[[#This Row],[Quantity Sold]]*Table1[[#This Row],[Unit Price]]</f>
        <v>1028.28</v>
      </c>
      <c r="N483">
        <f>Table1[[#This Row],[Sales Amount]]-Table1[[#This Row],[Cost Amount]]</f>
        <v>388.52</v>
      </c>
      <c r="O483" t="str">
        <f>"Q"&amp;ROUNDUP(MONTH(Table1[[#This Row],[Order Date]])/3,0)</f>
        <v>Q3</v>
      </c>
      <c r="P483" t="str">
        <f>TEXT(Table1[[#This Row],[Order Date]],"MMM")</f>
        <v>Aug</v>
      </c>
      <c r="Q483">
        <f>MONTH(Table1[[#This Row],[Order Date]])</f>
        <v>8</v>
      </c>
    </row>
    <row r="484" spans="1:17" x14ac:dyDescent="0.25">
      <c r="A484" t="s">
        <v>912</v>
      </c>
      <c r="B484" s="2">
        <v>46053</v>
      </c>
      <c r="C484">
        <v>2026</v>
      </c>
      <c r="D484" t="s">
        <v>357</v>
      </c>
      <c r="E484" t="s">
        <v>350</v>
      </c>
      <c r="F484" t="s">
        <v>91</v>
      </c>
      <c r="G484" t="s">
        <v>92</v>
      </c>
      <c r="H484" t="s">
        <v>68</v>
      </c>
      <c r="I484" t="s">
        <v>52</v>
      </c>
      <c r="J484">
        <v>8</v>
      </c>
      <c r="K484">
        <v>222.57</v>
      </c>
      <c r="L484">
        <v>1163.6300000000001</v>
      </c>
      <c r="M484">
        <f>Table1[[#This Row],[Quantity Sold]]*Table1[[#This Row],[Unit Price]]</f>
        <v>1780.56</v>
      </c>
      <c r="N484">
        <f>Table1[[#This Row],[Sales Amount]]-Table1[[#This Row],[Cost Amount]]</f>
        <v>616.92999999999984</v>
      </c>
      <c r="O484" t="str">
        <f>"Q"&amp;ROUNDUP(MONTH(Table1[[#This Row],[Order Date]])/3,0)</f>
        <v>Q1</v>
      </c>
      <c r="P484" t="str">
        <f>TEXT(Table1[[#This Row],[Order Date]],"MMM")</f>
        <v>Jan</v>
      </c>
      <c r="Q484">
        <f>MONTH(Table1[[#This Row],[Order Date]])</f>
        <v>1</v>
      </c>
    </row>
    <row r="485" spans="1:17" x14ac:dyDescent="0.25">
      <c r="A485" t="s">
        <v>913</v>
      </c>
      <c r="B485" s="2">
        <v>46092</v>
      </c>
      <c r="C485">
        <v>2026</v>
      </c>
      <c r="D485" t="s">
        <v>142</v>
      </c>
      <c r="E485" t="s">
        <v>729</v>
      </c>
      <c r="F485" t="s">
        <v>134</v>
      </c>
      <c r="G485" t="s">
        <v>135</v>
      </c>
      <c r="H485" t="s">
        <v>22</v>
      </c>
      <c r="I485" t="s">
        <v>52</v>
      </c>
      <c r="J485">
        <v>15</v>
      </c>
      <c r="K485">
        <v>418.09</v>
      </c>
      <c r="L485">
        <v>3341.77</v>
      </c>
      <c r="M485">
        <f>Table1[[#This Row],[Quantity Sold]]*Table1[[#This Row],[Unit Price]]</f>
        <v>6271.3499999999995</v>
      </c>
      <c r="N485">
        <f>Table1[[#This Row],[Sales Amount]]-Table1[[#This Row],[Cost Amount]]</f>
        <v>2929.5799999999995</v>
      </c>
      <c r="O485" t="str">
        <f>"Q"&amp;ROUNDUP(MONTH(Table1[[#This Row],[Order Date]])/3,0)</f>
        <v>Q1</v>
      </c>
      <c r="P485" t="str">
        <f>TEXT(Table1[[#This Row],[Order Date]],"MMM")</f>
        <v>Mar</v>
      </c>
      <c r="Q485">
        <f>MONTH(Table1[[#This Row],[Order Date]])</f>
        <v>3</v>
      </c>
    </row>
    <row r="486" spans="1:17" x14ac:dyDescent="0.25">
      <c r="A486" t="s">
        <v>914</v>
      </c>
      <c r="B486" s="2">
        <v>46061</v>
      </c>
      <c r="C486">
        <v>2026</v>
      </c>
      <c r="D486" t="s">
        <v>137</v>
      </c>
      <c r="E486" t="s">
        <v>791</v>
      </c>
      <c r="F486" t="s">
        <v>233</v>
      </c>
      <c r="G486" t="s">
        <v>234</v>
      </c>
      <c r="H486" t="s">
        <v>51</v>
      </c>
      <c r="I486" t="s">
        <v>23</v>
      </c>
      <c r="J486">
        <v>18</v>
      </c>
      <c r="K486">
        <v>453.87</v>
      </c>
      <c r="L486">
        <v>4522.51</v>
      </c>
      <c r="M486">
        <f>Table1[[#This Row],[Quantity Sold]]*Table1[[#This Row],[Unit Price]]</f>
        <v>8169.66</v>
      </c>
      <c r="N486">
        <f>Table1[[#This Row],[Sales Amount]]-Table1[[#This Row],[Cost Amount]]</f>
        <v>3647.1499999999996</v>
      </c>
      <c r="O486" t="str">
        <f>"Q"&amp;ROUNDUP(MONTH(Table1[[#This Row],[Order Date]])/3,0)</f>
        <v>Q1</v>
      </c>
      <c r="P486" t="str">
        <f>TEXT(Table1[[#This Row],[Order Date]],"MMM")</f>
        <v>Feb</v>
      </c>
      <c r="Q486">
        <f>MONTH(Table1[[#This Row],[Order Date]])</f>
        <v>2</v>
      </c>
    </row>
    <row r="487" spans="1:17" x14ac:dyDescent="0.25">
      <c r="A487" t="s">
        <v>915</v>
      </c>
      <c r="B487" s="2">
        <v>46043</v>
      </c>
      <c r="C487">
        <v>2026</v>
      </c>
      <c r="D487" t="s">
        <v>776</v>
      </c>
      <c r="E487" t="s">
        <v>94</v>
      </c>
      <c r="F487" t="s">
        <v>91</v>
      </c>
      <c r="G487" t="s">
        <v>92</v>
      </c>
      <c r="H487" t="s">
        <v>68</v>
      </c>
      <c r="I487" t="s">
        <v>29</v>
      </c>
      <c r="J487">
        <v>10</v>
      </c>
      <c r="K487">
        <v>488.89</v>
      </c>
      <c r="L487">
        <v>3375.15</v>
      </c>
      <c r="M487">
        <f>Table1[[#This Row],[Quantity Sold]]*Table1[[#This Row],[Unit Price]]</f>
        <v>4888.8999999999996</v>
      </c>
      <c r="N487">
        <f>Table1[[#This Row],[Sales Amount]]-Table1[[#This Row],[Cost Amount]]</f>
        <v>1513.7499999999995</v>
      </c>
      <c r="O487" t="str">
        <f>"Q"&amp;ROUNDUP(MONTH(Table1[[#This Row],[Order Date]])/3,0)</f>
        <v>Q1</v>
      </c>
      <c r="P487" t="str">
        <f>TEXT(Table1[[#This Row],[Order Date]],"MMM")</f>
        <v>Jan</v>
      </c>
      <c r="Q487">
        <f>MONTH(Table1[[#This Row],[Order Date]])</f>
        <v>1</v>
      </c>
    </row>
    <row r="488" spans="1:17" x14ac:dyDescent="0.25">
      <c r="A488" t="s">
        <v>916</v>
      </c>
      <c r="B488" s="2">
        <v>46277</v>
      </c>
      <c r="C488">
        <v>2026</v>
      </c>
      <c r="D488" t="s">
        <v>47</v>
      </c>
      <c r="E488" t="s">
        <v>465</v>
      </c>
      <c r="F488" t="s">
        <v>20</v>
      </c>
      <c r="G488" t="s">
        <v>21</v>
      </c>
      <c r="H488" t="s">
        <v>22</v>
      </c>
      <c r="I488" t="s">
        <v>52</v>
      </c>
      <c r="J488">
        <v>8</v>
      </c>
      <c r="K488">
        <v>313.47000000000003</v>
      </c>
      <c r="L488">
        <v>1494.66</v>
      </c>
      <c r="M488">
        <f>Table1[[#This Row],[Quantity Sold]]*Table1[[#This Row],[Unit Price]]</f>
        <v>2507.7600000000002</v>
      </c>
      <c r="N488">
        <f>Table1[[#This Row],[Sales Amount]]-Table1[[#This Row],[Cost Amount]]</f>
        <v>1013.1000000000001</v>
      </c>
      <c r="O488" t="str">
        <f>"Q"&amp;ROUNDUP(MONTH(Table1[[#This Row],[Order Date]])/3,0)</f>
        <v>Q3</v>
      </c>
      <c r="P488" t="str">
        <f>TEXT(Table1[[#This Row],[Order Date]],"MMM")</f>
        <v>Sep</v>
      </c>
      <c r="Q488">
        <f>MONTH(Table1[[#This Row],[Order Date]])</f>
        <v>9</v>
      </c>
    </row>
    <row r="489" spans="1:17" x14ac:dyDescent="0.25">
      <c r="A489" t="s">
        <v>917</v>
      </c>
      <c r="B489" s="2">
        <v>46203</v>
      </c>
      <c r="C489">
        <v>2026</v>
      </c>
      <c r="D489" t="s">
        <v>64</v>
      </c>
      <c r="E489" t="s">
        <v>468</v>
      </c>
      <c r="F489" t="s">
        <v>190</v>
      </c>
      <c r="G489" t="s">
        <v>191</v>
      </c>
      <c r="H489" t="s">
        <v>35</v>
      </c>
      <c r="I489" t="s">
        <v>52</v>
      </c>
      <c r="J489">
        <v>20</v>
      </c>
      <c r="K489">
        <v>375.08</v>
      </c>
      <c r="L489">
        <v>4722.93</v>
      </c>
      <c r="M489">
        <f>Table1[[#This Row],[Quantity Sold]]*Table1[[#This Row],[Unit Price]]</f>
        <v>7501.5999999999995</v>
      </c>
      <c r="N489">
        <f>Table1[[#This Row],[Sales Amount]]-Table1[[#This Row],[Cost Amount]]</f>
        <v>2778.6699999999992</v>
      </c>
      <c r="O489" t="str">
        <f>"Q"&amp;ROUNDUP(MONTH(Table1[[#This Row],[Order Date]])/3,0)</f>
        <v>Q2</v>
      </c>
      <c r="P489" t="str">
        <f>TEXT(Table1[[#This Row],[Order Date]],"MMM")</f>
        <v>Jun</v>
      </c>
      <c r="Q489">
        <f>MONTH(Table1[[#This Row],[Order Date]])</f>
        <v>6</v>
      </c>
    </row>
    <row r="490" spans="1:17" x14ac:dyDescent="0.25">
      <c r="A490" t="s">
        <v>918</v>
      </c>
      <c r="B490" s="2">
        <v>46355</v>
      </c>
      <c r="C490">
        <v>2026</v>
      </c>
      <c r="D490" t="s">
        <v>498</v>
      </c>
      <c r="E490" t="s">
        <v>360</v>
      </c>
      <c r="F490" t="s">
        <v>323</v>
      </c>
      <c r="G490" t="s">
        <v>324</v>
      </c>
      <c r="H490" t="s">
        <v>68</v>
      </c>
      <c r="I490" t="s">
        <v>52</v>
      </c>
      <c r="J490">
        <v>3</v>
      </c>
      <c r="K490">
        <v>237.43</v>
      </c>
      <c r="L490">
        <v>455.96</v>
      </c>
      <c r="M490">
        <f>Table1[[#This Row],[Quantity Sold]]*Table1[[#This Row],[Unit Price]]</f>
        <v>712.29</v>
      </c>
      <c r="N490">
        <f>Table1[[#This Row],[Sales Amount]]-Table1[[#This Row],[Cost Amount]]</f>
        <v>256.33</v>
      </c>
      <c r="O490" t="str">
        <f>"Q"&amp;ROUNDUP(MONTH(Table1[[#This Row],[Order Date]])/3,0)</f>
        <v>Q4</v>
      </c>
      <c r="P490" t="str">
        <f>TEXT(Table1[[#This Row],[Order Date]],"MMM")</f>
        <v>Nov</v>
      </c>
      <c r="Q490">
        <f>MONTH(Table1[[#This Row],[Order Date]])</f>
        <v>11</v>
      </c>
    </row>
    <row r="491" spans="1:17" x14ac:dyDescent="0.25">
      <c r="A491" t="s">
        <v>919</v>
      </c>
      <c r="B491" s="2">
        <v>46380</v>
      </c>
      <c r="C491">
        <v>2026</v>
      </c>
      <c r="D491" t="s">
        <v>232</v>
      </c>
      <c r="E491" t="s">
        <v>432</v>
      </c>
      <c r="F491" t="s">
        <v>195</v>
      </c>
      <c r="G491" t="s">
        <v>196</v>
      </c>
      <c r="H491" t="s">
        <v>35</v>
      </c>
      <c r="I491" t="s">
        <v>52</v>
      </c>
      <c r="J491">
        <v>7</v>
      </c>
      <c r="K491">
        <v>480.11</v>
      </c>
      <c r="L491">
        <v>2360.8000000000002</v>
      </c>
      <c r="M491">
        <f>Table1[[#This Row],[Quantity Sold]]*Table1[[#This Row],[Unit Price]]</f>
        <v>3360.77</v>
      </c>
      <c r="N491">
        <f>Table1[[#This Row],[Sales Amount]]-Table1[[#This Row],[Cost Amount]]</f>
        <v>999.9699999999998</v>
      </c>
      <c r="O491" t="str">
        <f>"Q"&amp;ROUNDUP(MONTH(Table1[[#This Row],[Order Date]])/3,0)</f>
        <v>Q4</v>
      </c>
      <c r="P491" t="str">
        <f>TEXT(Table1[[#This Row],[Order Date]],"MMM")</f>
        <v>Dec</v>
      </c>
      <c r="Q491">
        <f>MONTH(Table1[[#This Row],[Order Date]])</f>
        <v>12</v>
      </c>
    </row>
    <row r="492" spans="1:17" x14ac:dyDescent="0.25">
      <c r="A492" t="s">
        <v>920</v>
      </c>
      <c r="B492" s="2">
        <v>46224</v>
      </c>
      <c r="C492">
        <v>2026</v>
      </c>
      <c r="D492" t="s">
        <v>377</v>
      </c>
      <c r="E492" t="s">
        <v>71</v>
      </c>
      <c r="F492" t="s">
        <v>215</v>
      </c>
      <c r="G492" t="s">
        <v>216</v>
      </c>
      <c r="H492" t="s">
        <v>51</v>
      </c>
      <c r="I492" t="s">
        <v>52</v>
      </c>
      <c r="J492">
        <v>15</v>
      </c>
      <c r="K492">
        <v>150.84</v>
      </c>
      <c r="L492">
        <v>1615.99</v>
      </c>
      <c r="M492">
        <f>Table1[[#This Row],[Quantity Sold]]*Table1[[#This Row],[Unit Price]]</f>
        <v>2262.6</v>
      </c>
      <c r="N492">
        <f>Table1[[#This Row],[Sales Amount]]-Table1[[#This Row],[Cost Amount]]</f>
        <v>646.6099999999999</v>
      </c>
      <c r="O492" t="str">
        <f>"Q"&amp;ROUNDUP(MONTH(Table1[[#This Row],[Order Date]])/3,0)</f>
        <v>Q3</v>
      </c>
      <c r="P492" t="str">
        <f>TEXT(Table1[[#This Row],[Order Date]],"MMM")</f>
        <v>Jul</v>
      </c>
      <c r="Q492">
        <f>MONTH(Table1[[#This Row],[Order Date]])</f>
        <v>7</v>
      </c>
    </row>
    <row r="493" spans="1:17" x14ac:dyDescent="0.25">
      <c r="A493" t="s">
        <v>921</v>
      </c>
      <c r="B493" s="2">
        <v>46293</v>
      </c>
      <c r="C493">
        <v>2026</v>
      </c>
      <c r="D493" t="s">
        <v>291</v>
      </c>
      <c r="E493" t="s">
        <v>285</v>
      </c>
      <c r="F493" t="s">
        <v>95</v>
      </c>
      <c r="G493" t="s">
        <v>96</v>
      </c>
      <c r="H493" t="s">
        <v>97</v>
      </c>
      <c r="I493" t="s">
        <v>42</v>
      </c>
      <c r="J493">
        <v>3</v>
      </c>
      <c r="K493">
        <v>66.319999999999993</v>
      </c>
      <c r="L493">
        <v>164.8</v>
      </c>
      <c r="M493">
        <f>Table1[[#This Row],[Quantity Sold]]*Table1[[#This Row],[Unit Price]]</f>
        <v>198.95999999999998</v>
      </c>
      <c r="N493">
        <f>Table1[[#This Row],[Sales Amount]]-Table1[[#This Row],[Cost Amount]]</f>
        <v>34.159999999999968</v>
      </c>
      <c r="O493" t="str">
        <f>"Q"&amp;ROUNDUP(MONTH(Table1[[#This Row],[Order Date]])/3,0)</f>
        <v>Q3</v>
      </c>
      <c r="P493" t="str">
        <f>TEXT(Table1[[#This Row],[Order Date]],"MMM")</f>
        <v>Sep</v>
      </c>
      <c r="Q493">
        <f>MONTH(Table1[[#This Row],[Order Date]])</f>
        <v>9</v>
      </c>
    </row>
    <row r="494" spans="1:17" x14ac:dyDescent="0.25">
      <c r="A494" t="s">
        <v>922</v>
      </c>
      <c r="B494" s="2">
        <v>46082</v>
      </c>
      <c r="C494">
        <v>2026</v>
      </c>
      <c r="D494" t="s">
        <v>18</v>
      </c>
      <c r="E494" t="s">
        <v>569</v>
      </c>
      <c r="F494" t="s">
        <v>181</v>
      </c>
      <c r="G494" t="s">
        <v>182</v>
      </c>
      <c r="H494" t="s">
        <v>51</v>
      </c>
      <c r="I494" t="s">
        <v>42</v>
      </c>
      <c r="J494">
        <v>10</v>
      </c>
      <c r="K494">
        <v>73.599999999999994</v>
      </c>
      <c r="L494">
        <v>504.78</v>
      </c>
      <c r="M494">
        <f>Table1[[#This Row],[Quantity Sold]]*Table1[[#This Row],[Unit Price]]</f>
        <v>736</v>
      </c>
      <c r="N494">
        <f>Table1[[#This Row],[Sales Amount]]-Table1[[#This Row],[Cost Amount]]</f>
        <v>231.22000000000003</v>
      </c>
      <c r="O494" t="str">
        <f>"Q"&amp;ROUNDUP(MONTH(Table1[[#This Row],[Order Date]])/3,0)</f>
        <v>Q1</v>
      </c>
      <c r="P494" t="str">
        <f>TEXT(Table1[[#This Row],[Order Date]],"MMM")</f>
        <v>Mar</v>
      </c>
      <c r="Q494">
        <f>MONTH(Table1[[#This Row],[Order Date]])</f>
        <v>3</v>
      </c>
    </row>
    <row r="495" spans="1:17" x14ac:dyDescent="0.25">
      <c r="A495" t="s">
        <v>923</v>
      </c>
      <c r="B495" s="2">
        <v>46076</v>
      </c>
      <c r="C495">
        <v>2026</v>
      </c>
      <c r="D495" t="s">
        <v>18</v>
      </c>
      <c r="E495" t="s">
        <v>924</v>
      </c>
      <c r="F495" t="s">
        <v>169</v>
      </c>
      <c r="G495" t="s">
        <v>170</v>
      </c>
      <c r="H495" t="s">
        <v>22</v>
      </c>
      <c r="I495" t="s">
        <v>42</v>
      </c>
      <c r="J495">
        <v>20</v>
      </c>
      <c r="K495">
        <v>59.78</v>
      </c>
      <c r="L495">
        <v>655.77</v>
      </c>
      <c r="M495">
        <f>Table1[[#This Row],[Quantity Sold]]*Table1[[#This Row],[Unit Price]]</f>
        <v>1195.5999999999999</v>
      </c>
      <c r="N495">
        <f>Table1[[#This Row],[Sales Amount]]-Table1[[#This Row],[Cost Amount]]</f>
        <v>539.82999999999993</v>
      </c>
      <c r="O495" t="str">
        <f>"Q"&amp;ROUNDUP(MONTH(Table1[[#This Row],[Order Date]])/3,0)</f>
        <v>Q1</v>
      </c>
      <c r="P495" t="str">
        <f>TEXT(Table1[[#This Row],[Order Date]],"MMM")</f>
        <v>Feb</v>
      </c>
      <c r="Q495">
        <f>MONTH(Table1[[#This Row],[Order Date]])</f>
        <v>2</v>
      </c>
    </row>
    <row r="496" spans="1:17" x14ac:dyDescent="0.25">
      <c r="A496" t="s">
        <v>925</v>
      </c>
      <c r="B496" s="2">
        <v>46265</v>
      </c>
      <c r="C496">
        <v>2026</v>
      </c>
      <c r="D496" t="s">
        <v>362</v>
      </c>
      <c r="E496" t="s">
        <v>926</v>
      </c>
      <c r="F496" t="s">
        <v>181</v>
      </c>
      <c r="G496" t="s">
        <v>182</v>
      </c>
      <c r="H496" t="s">
        <v>51</v>
      </c>
      <c r="I496" t="s">
        <v>52</v>
      </c>
      <c r="J496">
        <v>15</v>
      </c>
      <c r="K496">
        <v>334.8</v>
      </c>
      <c r="L496">
        <v>3221.49</v>
      </c>
      <c r="M496">
        <f>Table1[[#This Row],[Quantity Sold]]*Table1[[#This Row],[Unit Price]]</f>
        <v>5022</v>
      </c>
      <c r="N496">
        <f>Table1[[#This Row],[Sales Amount]]-Table1[[#This Row],[Cost Amount]]</f>
        <v>1800.5100000000002</v>
      </c>
      <c r="O496" t="str">
        <f>"Q"&amp;ROUNDUP(MONTH(Table1[[#This Row],[Order Date]])/3,0)</f>
        <v>Q3</v>
      </c>
      <c r="P496" t="str">
        <f>TEXT(Table1[[#This Row],[Order Date]],"MMM")</f>
        <v>Aug</v>
      </c>
      <c r="Q496">
        <f>MONTH(Table1[[#This Row],[Order Date]])</f>
        <v>8</v>
      </c>
    </row>
    <row r="497" spans="1:17" x14ac:dyDescent="0.25">
      <c r="A497" t="s">
        <v>927</v>
      </c>
      <c r="B497" s="2">
        <v>46386</v>
      </c>
      <c r="C497">
        <v>2026</v>
      </c>
      <c r="D497" t="s">
        <v>64</v>
      </c>
      <c r="E497" t="s">
        <v>896</v>
      </c>
      <c r="F497" t="s">
        <v>144</v>
      </c>
      <c r="G497" t="s">
        <v>145</v>
      </c>
      <c r="H497" t="s">
        <v>97</v>
      </c>
      <c r="I497" t="s">
        <v>29</v>
      </c>
      <c r="J497">
        <v>2</v>
      </c>
      <c r="K497">
        <v>67.33</v>
      </c>
      <c r="L497">
        <v>99.49</v>
      </c>
      <c r="M497">
        <f>Table1[[#This Row],[Quantity Sold]]*Table1[[#This Row],[Unit Price]]</f>
        <v>134.66</v>
      </c>
      <c r="N497">
        <f>Table1[[#This Row],[Sales Amount]]-Table1[[#This Row],[Cost Amount]]</f>
        <v>35.17</v>
      </c>
      <c r="O497" t="str">
        <f>"Q"&amp;ROUNDUP(MONTH(Table1[[#This Row],[Order Date]])/3,0)</f>
        <v>Q4</v>
      </c>
      <c r="P497" t="str">
        <f>TEXT(Table1[[#This Row],[Order Date]],"MMM")</f>
        <v>Dec</v>
      </c>
      <c r="Q497">
        <f>MONTH(Table1[[#This Row],[Order Date]])</f>
        <v>12</v>
      </c>
    </row>
    <row r="498" spans="1:17" x14ac:dyDescent="0.25">
      <c r="A498" t="s">
        <v>928</v>
      </c>
      <c r="B498" s="2">
        <v>46235</v>
      </c>
      <c r="C498">
        <v>2026</v>
      </c>
      <c r="D498" t="s">
        <v>417</v>
      </c>
      <c r="E498" t="s">
        <v>731</v>
      </c>
      <c r="F498" t="s">
        <v>149</v>
      </c>
      <c r="G498" t="s">
        <v>150</v>
      </c>
      <c r="H498" t="s">
        <v>22</v>
      </c>
      <c r="I498" t="s">
        <v>52</v>
      </c>
      <c r="J498">
        <v>15</v>
      </c>
      <c r="K498">
        <v>30.32</v>
      </c>
      <c r="L498">
        <v>336.55</v>
      </c>
      <c r="M498">
        <f>Table1[[#This Row],[Quantity Sold]]*Table1[[#This Row],[Unit Price]]</f>
        <v>454.8</v>
      </c>
      <c r="N498">
        <f>Table1[[#This Row],[Sales Amount]]-Table1[[#This Row],[Cost Amount]]</f>
        <v>118.25</v>
      </c>
      <c r="O498" t="str">
        <f>"Q"&amp;ROUNDUP(MONTH(Table1[[#This Row],[Order Date]])/3,0)</f>
        <v>Q3</v>
      </c>
      <c r="P498" t="str">
        <f>TEXT(Table1[[#This Row],[Order Date]],"MMM")</f>
        <v>Aug</v>
      </c>
      <c r="Q498">
        <f>MONTH(Table1[[#This Row],[Order Date]])</f>
        <v>8</v>
      </c>
    </row>
    <row r="499" spans="1:17" x14ac:dyDescent="0.25">
      <c r="A499" t="s">
        <v>929</v>
      </c>
      <c r="B499" s="2">
        <v>46281</v>
      </c>
      <c r="C499">
        <v>2026</v>
      </c>
      <c r="D499" t="s">
        <v>357</v>
      </c>
      <c r="E499" t="s">
        <v>542</v>
      </c>
      <c r="F499" t="s">
        <v>154</v>
      </c>
      <c r="G499" t="s">
        <v>155</v>
      </c>
      <c r="H499" t="s">
        <v>68</v>
      </c>
      <c r="I499" t="s">
        <v>52</v>
      </c>
      <c r="J499">
        <v>14</v>
      </c>
      <c r="K499">
        <v>26.8</v>
      </c>
      <c r="L499">
        <v>291.69</v>
      </c>
      <c r="M499">
        <f>Table1[[#This Row],[Quantity Sold]]*Table1[[#This Row],[Unit Price]]</f>
        <v>375.2</v>
      </c>
      <c r="N499">
        <f>Table1[[#This Row],[Sales Amount]]-Table1[[#This Row],[Cost Amount]]</f>
        <v>83.509999999999991</v>
      </c>
      <c r="O499" t="str">
        <f>"Q"&amp;ROUNDUP(MONTH(Table1[[#This Row],[Order Date]])/3,0)</f>
        <v>Q3</v>
      </c>
      <c r="P499" t="str">
        <f>TEXT(Table1[[#This Row],[Order Date]],"MMM")</f>
        <v>Sep</v>
      </c>
      <c r="Q499">
        <f>MONTH(Table1[[#This Row],[Order Date]])</f>
        <v>9</v>
      </c>
    </row>
    <row r="500" spans="1:17" x14ac:dyDescent="0.25">
      <c r="A500" t="s">
        <v>930</v>
      </c>
      <c r="B500" s="2">
        <v>46282</v>
      </c>
      <c r="C500">
        <v>2026</v>
      </c>
      <c r="D500" t="s">
        <v>299</v>
      </c>
      <c r="E500" t="s">
        <v>731</v>
      </c>
      <c r="F500" t="s">
        <v>229</v>
      </c>
      <c r="G500" t="s">
        <v>230</v>
      </c>
      <c r="H500" t="s">
        <v>35</v>
      </c>
      <c r="I500" t="s">
        <v>52</v>
      </c>
      <c r="J500">
        <v>15</v>
      </c>
      <c r="K500">
        <v>448.07</v>
      </c>
      <c r="L500">
        <v>5303.89</v>
      </c>
      <c r="M500">
        <f>Table1[[#This Row],[Quantity Sold]]*Table1[[#This Row],[Unit Price]]</f>
        <v>6721.05</v>
      </c>
      <c r="N500">
        <f>Table1[[#This Row],[Sales Amount]]-Table1[[#This Row],[Cost Amount]]</f>
        <v>1417.1599999999999</v>
      </c>
      <c r="O500" t="str">
        <f>"Q"&amp;ROUNDUP(MONTH(Table1[[#This Row],[Order Date]])/3,0)</f>
        <v>Q3</v>
      </c>
      <c r="P500" t="str">
        <f>TEXT(Table1[[#This Row],[Order Date]],"MMM")</f>
        <v>Sep</v>
      </c>
      <c r="Q500">
        <f>MONTH(Table1[[#This Row],[Order Date]])</f>
        <v>9</v>
      </c>
    </row>
    <row r="501" spans="1:17" x14ac:dyDescent="0.25">
      <c r="A501" t="s">
        <v>931</v>
      </c>
      <c r="B501" s="2">
        <v>46204</v>
      </c>
      <c r="C501">
        <v>2026</v>
      </c>
      <c r="D501" t="s">
        <v>137</v>
      </c>
      <c r="E501" t="s">
        <v>926</v>
      </c>
      <c r="F501" t="s">
        <v>293</v>
      </c>
      <c r="G501" t="s">
        <v>294</v>
      </c>
      <c r="H501" t="s">
        <v>68</v>
      </c>
      <c r="I501" t="s">
        <v>23</v>
      </c>
      <c r="J501">
        <v>5</v>
      </c>
      <c r="K501">
        <v>107.92</v>
      </c>
      <c r="L501">
        <v>364.7</v>
      </c>
      <c r="M501">
        <f>Table1[[#This Row],[Quantity Sold]]*Table1[[#This Row],[Unit Price]]</f>
        <v>539.6</v>
      </c>
      <c r="N501">
        <f>Table1[[#This Row],[Sales Amount]]-Table1[[#This Row],[Cost Amount]]</f>
        <v>174.90000000000003</v>
      </c>
      <c r="O501" t="str">
        <f>"Q"&amp;ROUNDUP(MONTH(Table1[[#This Row],[Order Date]])/3,0)</f>
        <v>Q3</v>
      </c>
      <c r="P501" t="str">
        <f>TEXT(Table1[[#This Row],[Order Date]],"MMM")</f>
        <v>Jul</v>
      </c>
      <c r="Q501">
        <f>MONTH(Table1[[#This Row],[Order Date]])</f>
        <v>7</v>
      </c>
    </row>
    <row r="502" spans="1:17" x14ac:dyDescent="0.25">
      <c r="A502" t="s">
        <v>932</v>
      </c>
      <c r="B502" s="2">
        <v>46219</v>
      </c>
      <c r="C502">
        <v>2026</v>
      </c>
      <c r="D502" t="s">
        <v>89</v>
      </c>
      <c r="E502" t="s">
        <v>273</v>
      </c>
      <c r="F502" t="s">
        <v>134</v>
      </c>
      <c r="G502" t="s">
        <v>135</v>
      </c>
      <c r="H502" t="s">
        <v>22</v>
      </c>
      <c r="I502" t="s">
        <v>29</v>
      </c>
      <c r="J502">
        <v>18</v>
      </c>
      <c r="K502">
        <v>425.48</v>
      </c>
      <c r="L502">
        <v>5131.3900000000003</v>
      </c>
      <c r="M502">
        <f>Table1[[#This Row],[Quantity Sold]]*Table1[[#This Row],[Unit Price]]</f>
        <v>7658.64</v>
      </c>
      <c r="N502">
        <f>Table1[[#This Row],[Sales Amount]]-Table1[[#This Row],[Cost Amount]]</f>
        <v>2527.25</v>
      </c>
      <c r="O502" t="str">
        <f>"Q"&amp;ROUNDUP(MONTH(Table1[[#This Row],[Order Date]])/3,0)</f>
        <v>Q3</v>
      </c>
      <c r="P502" t="str">
        <f>TEXT(Table1[[#This Row],[Order Date]],"MMM")</f>
        <v>Jul</v>
      </c>
      <c r="Q502">
        <f>MONTH(Table1[[#This Row],[Order Date]])</f>
        <v>7</v>
      </c>
    </row>
    <row r="503" spans="1:17" x14ac:dyDescent="0.25">
      <c r="A503" t="s">
        <v>933</v>
      </c>
      <c r="B503" s="2">
        <v>46072</v>
      </c>
      <c r="C503">
        <v>2026</v>
      </c>
      <c r="D503" t="s">
        <v>31</v>
      </c>
      <c r="E503" t="s">
        <v>76</v>
      </c>
      <c r="F503" t="s">
        <v>56</v>
      </c>
      <c r="G503" t="s">
        <v>57</v>
      </c>
      <c r="H503" t="s">
        <v>51</v>
      </c>
      <c r="I503" t="s">
        <v>52</v>
      </c>
      <c r="J503">
        <v>8</v>
      </c>
      <c r="K503">
        <v>296.11</v>
      </c>
      <c r="L503">
        <v>1932.97</v>
      </c>
      <c r="M503">
        <f>Table1[[#This Row],[Quantity Sold]]*Table1[[#This Row],[Unit Price]]</f>
        <v>2368.88</v>
      </c>
      <c r="N503">
        <f>Table1[[#This Row],[Sales Amount]]-Table1[[#This Row],[Cost Amount]]</f>
        <v>435.91000000000008</v>
      </c>
      <c r="O503" t="str">
        <f>"Q"&amp;ROUNDUP(MONTH(Table1[[#This Row],[Order Date]])/3,0)</f>
        <v>Q1</v>
      </c>
      <c r="P503" t="str">
        <f>TEXT(Table1[[#This Row],[Order Date]],"MMM")</f>
        <v>Feb</v>
      </c>
      <c r="Q503">
        <f>MONTH(Table1[[#This Row],[Order Date]])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 daw</dc:creator>
  <cp:lastModifiedBy>wad daw</cp:lastModifiedBy>
  <dcterms:created xsi:type="dcterms:W3CDTF">2026-09-22T08:11:26Z</dcterms:created>
  <dcterms:modified xsi:type="dcterms:W3CDTF">2026-09-22T08:12:33Z</dcterms:modified>
</cp:coreProperties>
</file>